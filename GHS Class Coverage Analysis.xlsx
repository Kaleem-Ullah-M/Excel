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7.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slicers/slicer3.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202300"/>
  <mc:AlternateContent xmlns:mc="http://schemas.openxmlformats.org/markup-compatibility/2006">
    <mc:Choice Requires="x15">
      <x15ac:absPath xmlns:x15ac="http://schemas.microsoft.com/office/spreadsheetml/2010/11/ac" url="D:\Git\Excel\Subtitute coverage analysis\"/>
    </mc:Choice>
  </mc:AlternateContent>
  <xr:revisionPtr revIDLastSave="0" documentId="13_ncr:1_{4523ABCB-03AA-4369-8931-CA1D1345C818}" xr6:coauthVersionLast="47" xr6:coauthVersionMax="47" xr10:uidLastSave="{00000000-0000-0000-0000-000000000000}"/>
  <bookViews>
    <workbookView xWindow="-108" yWindow="-108" windowWidth="23256" windowHeight="13896" xr2:uid="{204EA1F4-93B6-4A4A-97A3-3330D70F63CD}"/>
  </bookViews>
  <sheets>
    <sheet name="Dashboard" sheetId="15" r:id="rId1"/>
    <sheet name="KPI" sheetId="12" state="hidden" r:id="rId2"/>
    <sheet name="Classeoom_Associates_Workload" sheetId="32" state="hidden" r:id="rId3"/>
    <sheet name="Outside Sub Coverage" sheetId="33" state="hidden" r:id="rId4"/>
    <sheet name="Most Teachers Covered" sheetId="34" state="hidden" r:id="rId5"/>
    <sheet name="Classes Coverage Trend" sheetId="35" state="hidden" r:id="rId6"/>
    <sheet name="Classes Coverage by Days" sheetId="36" state="hidden" r:id="rId7"/>
    <sheet name="Peak day" sheetId="38" state="hidden" r:id="rId8"/>
    <sheet name="Avg Class" sheetId="39" state="hidden" r:id="rId9"/>
    <sheet name="All Cleaned Data" sheetId="10" state="hidden" r:id="rId10"/>
  </sheets>
  <definedNames>
    <definedName name="Date">All_Cleaned_Data[Date]</definedName>
    <definedName name="ExternalData_1" localSheetId="9" hidden="1">'All Cleaned Data'!$A$1:$J$648</definedName>
    <definedName name="Periods">'All Cleaned Data'!$I:$I</definedName>
    <definedName name="Slicer_Month">#N/A</definedName>
    <definedName name="Slicer_Month1">#N/A</definedName>
    <definedName name="Subtitute">'All Cleaned Data'!$E:$E</definedName>
    <definedName name="Teacher">'All Cleaned Data'!$D:$D</definedName>
    <definedName name="WeekDays">'All Cleaned Data'!$C:$C</definedName>
  </definedNames>
  <calcPr calcId="191029"/>
  <pivotCaches>
    <pivotCache cacheId="0"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3"/>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 i="10" l="1"/>
  <c r="K3" i="10"/>
  <c r="K4" i="10"/>
  <c r="K5" i="10"/>
  <c r="K6" i="10"/>
  <c r="K7" i="10"/>
  <c r="K8" i="10"/>
  <c r="K9" i="10"/>
  <c r="K10" i="10"/>
  <c r="K11" i="10"/>
  <c r="K12" i="10"/>
  <c r="K13" i="10"/>
  <c r="K14" i="10"/>
  <c r="K15" i="10"/>
  <c r="K16" i="10"/>
  <c r="K17" i="10"/>
  <c r="K18" i="10"/>
  <c r="K19" i="10"/>
  <c r="K20" i="10"/>
  <c r="K21" i="10"/>
  <c r="K22" i="10"/>
  <c r="K23" i="10"/>
  <c r="K24" i="10"/>
  <c r="K25" i="10"/>
  <c r="K26" i="10"/>
  <c r="K27" i="10"/>
  <c r="K28" i="10"/>
  <c r="K29" i="10"/>
  <c r="K30" i="10"/>
  <c r="K31" i="10"/>
  <c r="K32" i="10"/>
  <c r="K33" i="10"/>
  <c r="K34" i="10"/>
  <c r="K35" i="10"/>
  <c r="K36" i="10"/>
  <c r="K37" i="10"/>
  <c r="K38" i="10"/>
  <c r="K39" i="10"/>
  <c r="K40" i="10"/>
  <c r="K41" i="10"/>
  <c r="K42" i="10"/>
  <c r="K43" i="10"/>
  <c r="K44" i="10"/>
  <c r="K45" i="10"/>
  <c r="K46" i="10"/>
  <c r="K47" i="10"/>
  <c r="K48" i="10"/>
  <c r="K49" i="10"/>
  <c r="K50" i="10"/>
  <c r="K51" i="10"/>
  <c r="K52" i="10"/>
  <c r="K53" i="10"/>
  <c r="K54" i="10"/>
  <c r="K55" i="10"/>
  <c r="K56" i="10"/>
  <c r="K57" i="10"/>
  <c r="K58" i="10"/>
  <c r="K59" i="10"/>
  <c r="K60" i="10"/>
  <c r="K61" i="10"/>
  <c r="K62" i="10"/>
  <c r="K63" i="10"/>
  <c r="K64" i="10"/>
  <c r="K65" i="10"/>
  <c r="K66" i="10"/>
  <c r="K67" i="10"/>
  <c r="K68" i="10"/>
  <c r="K69" i="10"/>
  <c r="K70" i="10"/>
  <c r="K71" i="10"/>
  <c r="K72" i="10"/>
  <c r="K73" i="10"/>
  <c r="K74" i="10"/>
  <c r="K75" i="10"/>
  <c r="K76" i="10"/>
  <c r="K77" i="10"/>
  <c r="K78" i="10"/>
  <c r="K79" i="10"/>
  <c r="K80" i="10"/>
  <c r="K81" i="10"/>
  <c r="K82" i="10"/>
  <c r="K83" i="10"/>
  <c r="K84" i="10"/>
  <c r="K85" i="10"/>
  <c r="K86" i="10"/>
  <c r="K87" i="10"/>
  <c r="K88" i="10"/>
  <c r="K89" i="10"/>
  <c r="K90" i="10"/>
  <c r="K91" i="10"/>
  <c r="K92" i="10"/>
  <c r="K93" i="10"/>
  <c r="K94" i="10"/>
  <c r="K95" i="10"/>
  <c r="K96" i="10"/>
  <c r="K97" i="10"/>
  <c r="K98" i="10"/>
  <c r="K99" i="10"/>
  <c r="K100" i="10"/>
  <c r="K101" i="10"/>
  <c r="K102" i="10"/>
  <c r="K103" i="10"/>
  <c r="K104" i="10"/>
  <c r="K105" i="10"/>
  <c r="K106" i="10"/>
  <c r="K107" i="10"/>
  <c r="K108" i="10"/>
  <c r="K109" i="10"/>
  <c r="K110" i="10"/>
  <c r="K111" i="10"/>
  <c r="K112" i="10"/>
  <c r="K113" i="10"/>
  <c r="K114" i="10"/>
  <c r="K115" i="10"/>
  <c r="K116" i="10"/>
  <c r="K117" i="10"/>
  <c r="K118" i="10"/>
  <c r="K119" i="10"/>
  <c r="K120" i="10"/>
  <c r="K121" i="10"/>
  <c r="K122" i="10"/>
  <c r="K123" i="10"/>
  <c r="K124" i="10"/>
  <c r="K125" i="10"/>
  <c r="K126" i="10"/>
  <c r="K127" i="10"/>
  <c r="K128" i="10"/>
  <c r="K129" i="10"/>
  <c r="K130" i="10"/>
  <c r="K131" i="10"/>
  <c r="K132" i="10"/>
  <c r="K133" i="10"/>
  <c r="K134" i="10"/>
  <c r="K135" i="10"/>
  <c r="K136" i="10"/>
  <c r="K137" i="10"/>
  <c r="K138" i="10"/>
  <c r="K139" i="10"/>
  <c r="K140" i="10"/>
  <c r="K141" i="10"/>
  <c r="K142" i="10"/>
  <c r="K143" i="10"/>
  <c r="K144" i="10"/>
  <c r="K145" i="10"/>
  <c r="K146" i="10"/>
  <c r="K147" i="10"/>
  <c r="K148" i="10"/>
  <c r="K149" i="10"/>
  <c r="K150" i="10"/>
  <c r="K151" i="10"/>
  <c r="K152" i="10"/>
  <c r="K153" i="10"/>
  <c r="K154" i="10"/>
  <c r="K155" i="10"/>
  <c r="K156" i="10"/>
  <c r="K157" i="10"/>
  <c r="K158" i="10"/>
  <c r="K159" i="10"/>
  <c r="K160" i="10"/>
  <c r="K161" i="10"/>
  <c r="K162" i="10"/>
  <c r="K163" i="10"/>
  <c r="K164" i="10"/>
  <c r="K165" i="10"/>
  <c r="K166" i="10"/>
  <c r="K167" i="10"/>
  <c r="K168" i="10"/>
  <c r="K169" i="10"/>
  <c r="K170" i="10"/>
  <c r="K171" i="10"/>
  <c r="K172" i="10"/>
  <c r="K173" i="10"/>
  <c r="K174" i="10"/>
  <c r="K175" i="10"/>
  <c r="K176" i="10"/>
  <c r="K177" i="10"/>
  <c r="K178" i="10"/>
  <c r="K179" i="10"/>
  <c r="K180" i="10"/>
  <c r="K181" i="10"/>
  <c r="K182" i="10"/>
  <c r="K183" i="10"/>
  <c r="K184" i="10"/>
  <c r="K185" i="10"/>
  <c r="K186" i="10"/>
  <c r="K187" i="10"/>
  <c r="K188" i="10"/>
  <c r="K189" i="10"/>
  <c r="K190" i="10"/>
  <c r="K191" i="10"/>
  <c r="K192" i="10"/>
  <c r="K193" i="10"/>
  <c r="K194" i="10"/>
  <c r="K195" i="10"/>
  <c r="K196" i="10"/>
  <c r="K197" i="10"/>
  <c r="K198" i="10"/>
  <c r="K199" i="10"/>
  <c r="K200" i="10"/>
  <c r="K201" i="10"/>
  <c r="K202" i="10"/>
  <c r="K203" i="10"/>
  <c r="K204" i="10"/>
  <c r="K205" i="10"/>
  <c r="K206" i="10"/>
  <c r="K207" i="10"/>
  <c r="K208" i="10"/>
  <c r="K209" i="10"/>
  <c r="K210" i="10"/>
  <c r="K211" i="10"/>
  <c r="K212" i="10"/>
  <c r="K213" i="10"/>
  <c r="K214" i="10"/>
  <c r="K215" i="10"/>
  <c r="K216" i="10"/>
  <c r="K217" i="10"/>
  <c r="K218" i="10"/>
  <c r="K219" i="10"/>
  <c r="K220" i="10"/>
  <c r="K221" i="10"/>
  <c r="K222" i="10"/>
  <c r="K223" i="10"/>
  <c r="K224" i="10"/>
  <c r="K225" i="10"/>
  <c r="K226" i="10"/>
  <c r="K227" i="10"/>
  <c r="K228" i="10"/>
  <c r="K229" i="10"/>
  <c r="K230" i="10"/>
  <c r="K231" i="10"/>
  <c r="K232" i="10"/>
  <c r="K233" i="10"/>
  <c r="K234" i="10"/>
  <c r="K235" i="10"/>
  <c r="K236" i="10"/>
  <c r="K237" i="10"/>
  <c r="K238" i="10"/>
  <c r="K239" i="10"/>
  <c r="K240" i="10"/>
  <c r="K241" i="10"/>
  <c r="K242" i="10"/>
  <c r="K243" i="10"/>
  <c r="K244" i="10"/>
  <c r="K245" i="10"/>
  <c r="K246" i="10"/>
  <c r="K247" i="10"/>
  <c r="K248" i="10"/>
  <c r="K249" i="10"/>
  <c r="K250" i="10"/>
  <c r="K251" i="10"/>
  <c r="K252" i="10"/>
  <c r="K253" i="10"/>
  <c r="K254" i="10"/>
  <c r="K255" i="10"/>
  <c r="K256" i="10"/>
  <c r="K257" i="10"/>
  <c r="K258" i="10"/>
  <c r="K259" i="10"/>
  <c r="K260" i="10"/>
  <c r="K261" i="10"/>
  <c r="K262" i="10"/>
  <c r="K263" i="10"/>
  <c r="K264" i="10"/>
  <c r="K265" i="10"/>
  <c r="K266" i="10"/>
  <c r="K267" i="10"/>
  <c r="K268" i="10"/>
  <c r="K269" i="10"/>
  <c r="K270" i="10"/>
  <c r="K271" i="10"/>
  <c r="K272" i="10"/>
  <c r="K273" i="10"/>
  <c r="K274" i="10"/>
  <c r="K275" i="10"/>
  <c r="K276" i="10"/>
  <c r="K277" i="10"/>
  <c r="K278" i="10"/>
  <c r="K279" i="10"/>
  <c r="K280" i="10"/>
  <c r="K281" i="10"/>
  <c r="K282" i="10"/>
  <c r="K283" i="10"/>
  <c r="K284" i="10"/>
  <c r="K285" i="10"/>
  <c r="K286" i="10"/>
  <c r="K287" i="10"/>
  <c r="K288" i="10"/>
  <c r="K289" i="10"/>
  <c r="K290" i="10"/>
  <c r="K291" i="10"/>
  <c r="K292" i="10"/>
  <c r="K293" i="10"/>
  <c r="K294" i="10"/>
  <c r="K295" i="10"/>
  <c r="K296" i="10"/>
  <c r="K297" i="10"/>
  <c r="K298" i="10"/>
  <c r="K299" i="10"/>
  <c r="K300" i="10"/>
  <c r="K301" i="10"/>
  <c r="K302" i="10"/>
  <c r="K303" i="10"/>
  <c r="K304" i="10"/>
  <c r="K305" i="10"/>
  <c r="K306" i="10"/>
  <c r="K307" i="10"/>
  <c r="K308" i="10"/>
  <c r="K309" i="10"/>
  <c r="K310" i="10"/>
  <c r="K311" i="10"/>
  <c r="K312" i="10"/>
  <c r="K313" i="10"/>
  <c r="K314" i="10"/>
  <c r="K315" i="10"/>
  <c r="K316" i="10"/>
  <c r="K317" i="10"/>
  <c r="K318" i="10"/>
  <c r="K319" i="10"/>
  <c r="K320" i="10"/>
  <c r="K321" i="10"/>
  <c r="K322" i="10"/>
  <c r="K323" i="10"/>
  <c r="K324" i="10"/>
  <c r="K325" i="10"/>
  <c r="K326" i="10"/>
  <c r="K327" i="10"/>
  <c r="K328" i="10"/>
  <c r="K329" i="10"/>
  <c r="K330" i="10"/>
  <c r="K331" i="10"/>
  <c r="K332" i="10"/>
  <c r="K333" i="10"/>
  <c r="K334" i="10"/>
  <c r="K335" i="10"/>
  <c r="K336" i="10"/>
  <c r="K337" i="10"/>
  <c r="K338" i="10"/>
  <c r="K339" i="10"/>
  <c r="K340" i="10"/>
  <c r="K341" i="10"/>
  <c r="K342" i="10"/>
  <c r="K343" i="10"/>
  <c r="K344" i="10"/>
  <c r="K345" i="10"/>
  <c r="K346" i="10"/>
  <c r="K347" i="10"/>
  <c r="K348" i="10"/>
  <c r="K349" i="10"/>
  <c r="K350" i="10"/>
  <c r="K351" i="10"/>
  <c r="K352" i="10"/>
  <c r="K353" i="10"/>
  <c r="K354" i="10"/>
  <c r="K355" i="10"/>
  <c r="K356" i="10"/>
  <c r="K357" i="10"/>
  <c r="K358" i="10"/>
  <c r="K359" i="10"/>
  <c r="K360" i="10"/>
  <c r="K361" i="10"/>
  <c r="K362" i="10"/>
  <c r="K363" i="10"/>
  <c r="K364" i="10"/>
  <c r="K365" i="10"/>
  <c r="K366" i="10"/>
  <c r="K367" i="10"/>
  <c r="K368" i="10"/>
  <c r="K369" i="10"/>
  <c r="K370" i="10"/>
  <c r="K371" i="10"/>
  <c r="K372" i="10"/>
  <c r="K373" i="10"/>
  <c r="K374" i="10"/>
  <c r="K375" i="10"/>
  <c r="K376" i="10"/>
  <c r="K377" i="10"/>
  <c r="K378" i="10"/>
  <c r="K379" i="10"/>
  <c r="K380" i="10"/>
  <c r="K381" i="10"/>
  <c r="K382" i="10"/>
  <c r="K383" i="10"/>
  <c r="K384" i="10"/>
  <c r="K385" i="10"/>
  <c r="K386" i="10"/>
  <c r="K387" i="10"/>
  <c r="K388" i="10"/>
  <c r="K389" i="10"/>
  <c r="K390" i="10"/>
  <c r="K391" i="10"/>
  <c r="K392" i="10"/>
  <c r="K393" i="10"/>
  <c r="K394" i="10"/>
  <c r="K395" i="10"/>
  <c r="K396" i="10"/>
  <c r="K397" i="10"/>
  <c r="K398" i="10"/>
  <c r="K399" i="10"/>
  <c r="K400" i="10"/>
  <c r="K401" i="10"/>
  <c r="K402" i="10"/>
  <c r="K403" i="10"/>
  <c r="K404" i="10"/>
  <c r="K405" i="10"/>
  <c r="K406" i="10"/>
  <c r="K407" i="10"/>
  <c r="K408" i="10"/>
  <c r="K409" i="10"/>
  <c r="K410" i="10"/>
  <c r="K411" i="10"/>
  <c r="K412" i="10"/>
  <c r="K413" i="10"/>
  <c r="K414" i="10"/>
  <c r="K415" i="10"/>
  <c r="K416" i="10"/>
  <c r="K417" i="10"/>
  <c r="K418" i="10"/>
  <c r="K419" i="10"/>
  <c r="K420" i="10"/>
  <c r="K421" i="10"/>
  <c r="K422" i="10"/>
  <c r="K423" i="10"/>
  <c r="K424" i="10"/>
  <c r="K425" i="10"/>
  <c r="K426" i="10"/>
  <c r="K427" i="10"/>
  <c r="K428" i="10"/>
  <c r="K429" i="10"/>
  <c r="K430" i="10"/>
  <c r="K431" i="10"/>
  <c r="K432" i="10"/>
  <c r="K433" i="10"/>
  <c r="K434" i="10"/>
  <c r="K435" i="10"/>
  <c r="K436" i="10"/>
  <c r="K437" i="10"/>
  <c r="K438" i="10"/>
  <c r="K439" i="10"/>
  <c r="K440" i="10"/>
  <c r="K441" i="10"/>
  <c r="K442" i="10"/>
  <c r="K443" i="10"/>
  <c r="K444" i="10"/>
  <c r="K445" i="10"/>
  <c r="K446" i="10"/>
  <c r="K447" i="10"/>
  <c r="K448" i="10"/>
  <c r="K449" i="10"/>
  <c r="K450" i="10"/>
  <c r="K451" i="10"/>
  <c r="K452" i="10"/>
  <c r="K453" i="10"/>
  <c r="K454" i="10"/>
  <c r="K455" i="10"/>
  <c r="K456" i="10"/>
  <c r="K457" i="10"/>
  <c r="K458" i="10"/>
  <c r="K459" i="10"/>
  <c r="K460" i="10"/>
  <c r="K461" i="10"/>
  <c r="K462" i="10"/>
  <c r="K463" i="10"/>
  <c r="K464" i="10"/>
  <c r="K465" i="10"/>
  <c r="K466" i="10"/>
  <c r="K467" i="10"/>
  <c r="K468" i="10"/>
  <c r="K469" i="10"/>
  <c r="K470" i="10"/>
  <c r="K471" i="10"/>
  <c r="K472" i="10"/>
  <c r="K473" i="10"/>
  <c r="K474" i="10"/>
  <c r="K475" i="10"/>
  <c r="K476" i="10"/>
  <c r="K477" i="10"/>
  <c r="K478" i="10"/>
  <c r="K479" i="10"/>
  <c r="K480" i="10"/>
  <c r="K481" i="10"/>
  <c r="K482" i="10"/>
  <c r="K483" i="10"/>
  <c r="K484" i="10"/>
  <c r="K485" i="10"/>
  <c r="K486" i="10"/>
  <c r="K487" i="10"/>
  <c r="K488" i="10"/>
  <c r="K489" i="10"/>
  <c r="K490" i="10"/>
  <c r="K491" i="10"/>
  <c r="K492" i="10"/>
  <c r="K493" i="10"/>
  <c r="K494" i="10"/>
  <c r="K495" i="10"/>
  <c r="K496" i="10"/>
  <c r="K497" i="10"/>
  <c r="K498" i="10"/>
  <c r="K499" i="10"/>
  <c r="K500" i="10"/>
  <c r="K501" i="10"/>
  <c r="K502" i="10"/>
  <c r="K503" i="10"/>
  <c r="K504" i="10"/>
  <c r="K505" i="10"/>
  <c r="K506" i="10"/>
  <c r="K507" i="10"/>
  <c r="K508" i="10"/>
  <c r="K509" i="10"/>
  <c r="K510" i="10"/>
  <c r="K511" i="10"/>
  <c r="K512" i="10"/>
  <c r="K513" i="10"/>
  <c r="K514" i="10"/>
  <c r="K515" i="10"/>
  <c r="K516" i="10"/>
  <c r="K517" i="10"/>
  <c r="K518" i="10"/>
  <c r="K519" i="10"/>
  <c r="K520" i="10"/>
  <c r="K521" i="10"/>
  <c r="K522" i="10"/>
  <c r="K523" i="10"/>
  <c r="K524" i="10"/>
  <c r="K525" i="10"/>
  <c r="K526" i="10"/>
  <c r="K527" i="10"/>
  <c r="K528" i="10"/>
  <c r="K529" i="10"/>
  <c r="K530" i="10"/>
  <c r="K531" i="10"/>
  <c r="K532" i="10"/>
  <c r="K533" i="10"/>
  <c r="K534" i="10"/>
  <c r="K535" i="10"/>
  <c r="K536" i="10"/>
  <c r="K537" i="10"/>
  <c r="K538" i="10"/>
  <c r="K539" i="10"/>
  <c r="K540" i="10"/>
  <c r="K541" i="10"/>
  <c r="K542" i="10"/>
  <c r="K543" i="10"/>
  <c r="K544" i="10"/>
  <c r="K545" i="10"/>
  <c r="K546" i="10"/>
  <c r="K547" i="10"/>
  <c r="K548" i="10"/>
  <c r="K549" i="10"/>
  <c r="K550" i="10"/>
  <c r="K551" i="10"/>
  <c r="K552" i="10"/>
  <c r="K553" i="10"/>
  <c r="K554" i="10"/>
  <c r="K555" i="10"/>
  <c r="K556" i="10"/>
  <c r="K557" i="10"/>
  <c r="K558" i="10"/>
  <c r="K559" i="10"/>
  <c r="K560" i="10"/>
  <c r="K561" i="10"/>
  <c r="K562" i="10"/>
  <c r="K563" i="10"/>
  <c r="K564" i="10"/>
  <c r="K565" i="10"/>
  <c r="K566" i="10"/>
  <c r="K567" i="10"/>
  <c r="K568" i="10"/>
  <c r="K569" i="10"/>
  <c r="K570" i="10"/>
  <c r="K571" i="10"/>
  <c r="K572" i="10"/>
  <c r="K573" i="10"/>
  <c r="K574" i="10"/>
  <c r="K575" i="10"/>
  <c r="K576" i="10"/>
  <c r="K577" i="10"/>
  <c r="K578" i="10"/>
  <c r="K579" i="10"/>
  <c r="K580" i="10"/>
  <c r="K581" i="10"/>
  <c r="K582" i="10"/>
  <c r="K583" i="10"/>
  <c r="K584" i="10"/>
  <c r="K585" i="10"/>
  <c r="K586" i="10"/>
  <c r="K587" i="10"/>
  <c r="K588" i="10"/>
  <c r="K589" i="10"/>
  <c r="K590" i="10"/>
  <c r="K591" i="10"/>
  <c r="K592" i="10"/>
  <c r="K593" i="10"/>
  <c r="K594" i="10"/>
  <c r="K595" i="10"/>
  <c r="K596" i="10"/>
  <c r="K597" i="10"/>
  <c r="K598" i="10"/>
  <c r="K599" i="10"/>
  <c r="K600" i="10"/>
  <c r="K601" i="10"/>
  <c r="K602" i="10"/>
  <c r="K603" i="10"/>
  <c r="K604" i="10"/>
  <c r="K605" i="10"/>
  <c r="K606" i="10"/>
  <c r="K607" i="10"/>
  <c r="K608" i="10"/>
  <c r="K609" i="10"/>
  <c r="K610" i="10"/>
  <c r="K611" i="10"/>
  <c r="K612" i="10"/>
  <c r="K613" i="10"/>
  <c r="K614" i="10"/>
  <c r="K615" i="10"/>
  <c r="K616" i="10"/>
  <c r="K617" i="10"/>
  <c r="K618" i="10"/>
  <c r="K619" i="10"/>
  <c r="K620" i="10"/>
  <c r="K621" i="10"/>
  <c r="K622" i="10"/>
  <c r="K623" i="10"/>
  <c r="K624" i="10"/>
  <c r="K625" i="10"/>
  <c r="K626" i="10"/>
  <c r="K627" i="10"/>
  <c r="K628" i="10"/>
  <c r="K629" i="10"/>
  <c r="K630" i="10"/>
  <c r="K631" i="10"/>
  <c r="K632" i="10"/>
  <c r="K633" i="10"/>
  <c r="K634" i="10"/>
  <c r="K635" i="10"/>
  <c r="K636" i="10"/>
  <c r="K637" i="10"/>
  <c r="K638" i="10"/>
  <c r="K639" i="10"/>
  <c r="K640" i="10"/>
  <c r="K641" i="10"/>
  <c r="K642" i="10"/>
  <c r="K643" i="10"/>
  <c r="K644" i="10"/>
  <c r="K645" i="10"/>
  <c r="K646" i="10"/>
  <c r="K647" i="10"/>
  <c r="K648" i="10"/>
  <c r="L2" i="10" a="1"/>
  <c r="L2" i="10" s="1"/>
  <c r="L3" i="10" a="1"/>
  <c r="L3" i="10"/>
  <c r="L4" i="10" a="1"/>
  <c r="L4" i="10" s="1"/>
  <c r="L5" i="10" a="1"/>
  <c r="L5" i="10"/>
  <c r="L6" i="10" a="1"/>
  <c r="L6" i="10"/>
  <c r="L7" i="10" a="1"/>
  <c r="L7" i="10" s="1"/>
  <c r="L8" i="10" a="1"/>
  <c r="L8" i="10" s="1"/>
  <c r="L9" i="10" a="1"/>
  <c r="L9" i="10" s="1"/>
  <c r="L10" i="10" a="1"/>
  <c r="L10" i="10"/>
  <c r="L11" i="10" a="1"/>
  <c r="L11" i="10" s="1"/>
  <c r="L12" i="10" a="1"/>
  <c r="L12" i="10" s="1"/>
  <c r="L13" i="10" a="1"/>
  <c r="L13" i="10" s="1"/>
  <c r="L14" i="10" a="1"/>
  <c r="L14" i="10"/>
  <c r="L15" i="10" a="1"/>
  <c r="L15" i="10"/>
  <c r="L16" i="10" a="1"/>
  <c r="L16" i="10" s="1"/>
  <c r="L17" i="10" a="1"/>
  <c r="L17" i="10" s="1"/>
  <c r="L18" i="10" a="1"/>
  <c r="L18" i="10" s="1"/>
  <c r="L19" i="10" a="1"/>
  <c r="L19" i="10"/>
  <c r="L20" i="10" a="1"/>
  <c r="L20" i="10" s="1"/>
  <c r="L21" i="10" a="1"/>
  <c r="L21" i="10" s="1"/>
  <c r="L22" i="10" a="1"/>
  <c r="L22" i="10"/>
  <c r="L23" i="10" a="1"/>
  <c r="L23" i="10"/>
  <c r="L24" i="10" a="1"/>
  <c r="L24" i="10" s="1"/>
  <c r="L25" i="10" a="1"/>
  <c r="L25" i="10" s="1"/>
  <c r="L26" i="10" a="1"/>
  <c r="L26" i="10"/>
  <c r="L27" i="10" a="1"/>
  <c r="L27" i="10" s="1"/>
  <c r="L28" i="10" a="1"/>
  <c r="L28" i="10" s="1"/>
  <c r="L29" i="10" a="1"/>
  <c r="L29" i="10"/>
  <c r="L30" i="10" a="1"/>
  <c r="L30" i="10" s="1"/>
  <c r="L31" i="10" a="1"/>
  <c r="L31" i="10"/>
  <c r="L32" i="10" a="1"/>
  <c r="L32" i="10" s="1"/>
  <c r="L33" i="10" a="1"/>
  <c r="L33" i="10"/>
  <c r="L34" i="10" a="1"/>
  <c r="L34" i="10" s="1"/>
  <c r="L35" i="10" a="1"/>
  <c r="L35" i="10" s="1"/>
  <c r="L36" i="10" a="1"/>
  <c r="L36" i="10" s="1"/>
  <c r="L37" i="10" a="1"/>
  <c r="L37" i="10"/>
  <c r="L38" i="10" a="1"/>
  <c r="L38" i="10"/>
  <c r="L39" i="10" a="1"/>
  <c r="L39" i="10" s="1"/>
  <c r="L40" i="10" a="1"/>
  <c r="L40" i="10" s="1"/>
  <c r="L41" i="10" a="1"/>
  <c r="L41" i="10" s="1"/>
  <c r="L42" i="10" a="1"/>
  <c r="L42" i="10"/>
  <c r="L43" i="10" a="1"/>
  <c r="L43" i="10" s="1"/>
  <c r="L44" i="10" a="1"/>
  <c r="L44" i="10" s="1"/>
  <c r="L45" i="10" a="1"/>
  <c r="L45" i="10"/>
  <c r="L46" i="10" a="1"/>
  <c r="L46" i="10"/>
  <c r="L47" i="10" a="1"/>
  <c r="L47" i="10"/>
  <c r="L48" i="10" a="1"/>
  <c r="L48" i="10" s="1"/>
  <c r="L49" i="10" a="1"/>
  <c r="L49" i="10" s="1"/>
  <c r="L50" i="10" a="1"/>
  <c r="L50" i="10" s="1"/>
  <c r="L51" i="10" a="1"/>
  <c r="L51" i="10"/>
  <c r="L52" i="10" a="1"/>
  <c r="L52" i="10" s="1"/>
  <c r="L53" i="10" a="1"/>
  <c r="L53" i="10" s="1"/>
  <c r="L54" i="10" a="1"/>
  <c r="L54" i="10"/>
  <c r="L55" i="10" a="1"/>
  <c r="L55" i="10"/>
  <c r="L56" i="10" a="1"/>
  <c r="L56" i="10" s="1"/>
  <c r="L57" i="10" a="1"/>
  <c r="L57" i="10" s="1"/>
  <c r="L58" i="10" a="1"/>
  <c r="L58" i="10"/>
  <c r="L59" i="10" a="1"/>
  <c r="L59" i="10" s="1"/>
  <c r="L60" i="10" a="1"/>
  <c r="L60" i="10" s="1"/>
  <c r="L61" i="10" a="1"/>
  <c r="L61" i="10"/>
  <c r="L62" i="10" a="1"/>
  <c r="L62" i="10" s="1"/>
  <c r="L63" i="10" a="1"/>
  <c r="L63" i="10"/>
  <c r="L64" i="10" a="1"/>
  <c r="L64" i="10" s="1"/>
  <c r="L65" i="10" a="1"/>
  <c r="L65" i="10" s="1"/>
  <c r="L66" i="10" a="1"/>
  <c r="L66" i="10" s="1"/>
  <c r="L67" i="10" a="1"/>
  <c r="L67" i="10" s="1"/>
  <c r="L68" i="10" a="1"/>
  <c r="L68" i="10" s="1"/>
  <c r="L69" i="10" a="1"/>
  <c r="L69" i="10"/>
  <c r="L70" i="10" a="1"/>
  <c r="L70" i="10"/>
  <c r="L71" i="10" a="1"/>
  <c r="L71" i="10" s="1"/>
  <c r="L72" i="10" a="1"/>
  <c r="L72" i="10" s="1"/>
  <c r="L73" i="10" a="1"/>
  <c r="L73" i="10"/>
  <c r="L74" i="10" a="1"/>
  <c r="L74" i="10" s="1"/>
  <c r="L75" i="10" a="1"/>
  <c r="L75" i="10" s="1"/>
  <c r="L76" i="10" a="1"/>
  <c r="L76" i="10" s="1"/>
  <c r="L77" i="10" a="1"/>
  <c r="L77" i="10" s="1"/>
  <c r="L78" i="10" a="1"/>
  <c r="L78" i="10"/>
  <c r="L79" i="10" a="1"/>
  <c r="L79" i="10"/>
  <c r="L80" i="10" a="1"/>
  <c r="L80" i="10" s="1"/>
  <c r="L81" i="10" a="1"/>
  <c r="L81" i="10"/>
  <c r="L82" i="10" a="1"/>
  <c r="L82" i="10"/>
  <c r="L83" i="10" a="1"/>
  <c r="L83" i="10" s="1"/>
  <c r="L84" i="10" a="1"/>
  <c r="L84" i="10" s="1"/>
  <c r="L85" i="10" a="1"/>
  <c r="L85" i="10" s="1"/>
  <c r="L86" i="10" a="1"/>
  <c r="L86" i="10" s="1"/>
  <c r="L87" i="10" a="1"/>
  <c r="L87" i="10"/>
  <c r="L88" i="10" a="1"/>
  <c r="L88" i="10" s="1"/>
  <c r="L89" i="10" a="1"/>
  <c r="L89" i="10" s="1"/>
  <c r="L90" i="10" a="1"/>
  <c r="L90" i="10"/>
  <c r="L91" i="10" a="1"/>
  <c r="L91" i="10"/>
  <c r="L92" i="10" a="1"/>
  <c r="L92" i="10" s="1"/>
  <c r="L93" i="10" a="1"/>
  <c r="L93" i="10"/>
  <c r="L94" i="10" a="1"/>
  <c r="L94" i="10" s="1"/>
  <c r="L95" i="10" a="1"/>
  <c r="L95" i="10" s="1"/>
  <c r="L96" i="10" a="1"/>
  <c r="L96" i="10" s="1"/>
  <c r="L97" i="10" a="1"/>
  <c r="L97" i="10" s="1"/>
  <c r="L98" i="10" a="1"/>
  <c r="L98" i="10" s="1"/>
  <c r="L99" i="10" a="1"/>
  <c r="L99" i="10"/>
  <c r="L100" i="10" a="1"/>
  <c r="L100" i="10" s="1"/>
  <c r="L101" i="10" a="1"/>
  <c r="L101" i="10"/>
  <c r="L102" i="10" a="1"/>
  <c r="L102" i="10"/>
  <c r="L103" i="10" a="1"/>
  <c r="L103" i="10" s="1"/>
  <c r="L104" i="10" a="1"/>
  <c r="L104" i="10" s="1"/>
  <c r="L105" i="10" a="1"/>
  <c r="L105" i="10"/>
  <c r="L106" i="10" a="1"/>
  <c r="L106" i="10" s="1"/>
  <c r="L107" i="10" a="1"/>
  <c r="L107" i="10" s="1"/>
  <c r="L108" i="10" a="1"/>
  <c r="L108" i="10" s="1"/>
  <c r="L109" i="10" a="1"/>
  <c r="L109" i="10" s="1"/>
  <c r="L110" i="10" a="1"/>
  <c r="L110" i="10"/>
  <c r="L111" i="10" a="1"/>
  <c r="L111" i="10"/>
  <c r="L112" i="10" a="1"/>
  <c r="L112" i="10" s="1"/>
  <c r="L113" i="10" a="1"/>
  <c r="L113" i="10"/>
  <c r="L114" i="10" a="1"/>
  <c r="L114" i="10" s="1"/>
  <c r="L115" i="10" a="1"/>
  <c r="L115" i="10" s="1"/>
  <c r="L116" i="10" a="1"/>
  <c r="L116" i="10" s="1"/>
  <c r="L117" i="10" a="1"/>
  <c r="L117" i="10" s="1"/>
  <c r="L118" i="10" a="1"/>
  <c r="L118" i="10"/>
  <c r="L119" i="10" a="1"/>
  <c r="L119" i="10"/>
  <c r="L120" i="10" a="1"/>
  <c r="L120" i="10" s="1"/>
  <c r="L121" i="10" a="1"/>
  <c r="L121" i="10" s="1"/>
  <c r="L122" i="10" a="1"/>
  <c r="L122" i="10" s="1"/>
  <c r="L123" i="10" a="1"/>
  <c r="L123" i="10" s="1"/>
  <c r="L124" i="10" a="1"/>
  <c r="L124" i="10" s="1"/>
  <c r="L125" i="10" a="1"/>
  <c r="L125" i="10"/>
  <c r="L126" i="10" a="1"/>
  <c r="L126" i="10" s="1"/>
  <c r="L127" i="10" a="1"/>
  <c r="L127" i="10"/>
  <c r="L128" i="10" a="1"/>
  <c r="L128" i="10" s="1"/>
  <c r="L129" i="10" a="1"/>
  <c r="L129" i="10"/>
  <c r="L130" i="10" a="1"/>
  <c r="L130" i="10" s="1"/>
  <c r="L131" i="10" a="1"/>
  <c r="L131" i="10" s="1"/>
  <c r="L132" i="10" a="1"/>
  <c r="L132" i="10" s="1"/>
  <c r="L133" i="10" a="1"/>
  <c r="L133" i="10"/>
  <c r="L134" i="10" a="1"/>
  <c r="L134" i="10"/>
  <c r="L135" i="10" a="1"/>
  <c r="L135" i="10" s="1"/>
  <c r="L136" i="10" a="1"/>
  <c r="L136" i="10" s="1"/>
  <c r="L137" i="10" a="1"/>
  <c r="L137" i="10" s="1"/>
  <c r="L138" i="10" a="1"/>
  <c r="L138" i="10"/>
  <c r="L139" i="10" a="1"/>
  <c r="L139" i="10" s="1"/>
  <c r="L140" i="10" a="1"/>
  <c r="L140" i="10" s="1"/>
  <c r="L141" i="10" a="1"/>
  <c r="L141" i="10" s="1"/>
  <c r="L142" i="10" a="1"/>
  <c r="L142" i="10"/>
  <c r="L143" i="10" a="1"/>
  <c r="L143" i="10"/>
  <c r="L144" i="10" a="1"/>
  <c r="L144" i="10" s="1"/>
  <c r="L145" i="10" a="1"/>
  <c r="L145" i="10"/>
  <c r="L146" i="10" a="1"/>
  <c r="L146" i="10" s="1"/>
  <c r="L147" i="10" a="1"/>
  <c r="L147" i="10"/>
  <c r="L148" i="10" a="1"/>
  <c r="L148" i="10" s="1"/>
  <c r="L149" i="10" a="1"/>
  <c r="L149" i="10" s="1"/>
  <c r="L150" i="10" a="1"/>
  <c r="L150" i="10" s="1"/>
  <c r="L151" i="10" a="1"/>
  <c r="L151" i="10"/>
  <c r="L152" i="10" a="1"/>
  <c r="L152" i="10" s="1"/>
  <c r="L153" i="10" a="1"/>
  <c r="L153" i="10" s="1"/>
  <c r="L154" i="10" a="1"/>
  <c r="L154" i="10"/>
  <c r="L155" i="10" a="1"/>
  <c r="L155" i="10" s="1"/>
  <c r="L156" i="10" a="1"/>
  <c r="L156" i="10" s="1"/>
  <c r="L157" i="10" a="1"/>
  <c r="L157" i="10"/>
  <c r="L158" i="10" a="1"/>
  <c r="L158" i="10" s="1"/>
  <c r="L159" i="10" a="1"/>
  <c r="L159" i="10" s="1"/>
  <c r="L160" i="10" a="1"/>
  <c r="L160" i="10" s="1"/>
  <c r="L161" i="10" a="1"/>
  <c r="L161" i="10"/>
  <c r="L162" i="10" a="1"/>
  <c r="L162" i="10" s="1"/>
  <c r="L163" i="10" a="1"/>
  <c r="L163" i="10"/>
  <c r="L164" i="10" a="1"/>
  <c r="L164" i="10" s="1"/>
  <c r="L165" i="10" a="1"/>
  <c r="L165" i="10"/>
  <c r="L166" i="10" a="1"/>
  <c r="L166" i="10"/>
  <c r="L167" i="10" a="1"/>
  <c r="L167" i="10" s="1"/>
  <c r="L168" i="10" a="1"/>
  <c r="L168" i="10" s="1"/>
  <c r="L169" i="10" a="1"/>
  <c r="L169" i="10" s="1"/>
  <c r="L170" i="10" a="1"/>
  <c r="L170" i="10"/>
  <c r="L171" i="10" a="1"/>
  <c r="L171" i="10" s="1"/>
  <c r="L172" i="10" a="1"/>
  <c r="L172" i="10" s="1"/>
  <c r="L173" i="10" a="1"/>
  <c r="L173" i="10" s="1"/>
  <c r="L174" i="10" a="1"/>
  <c r="L174" i="10"/>
  <c r="L175" i="10" a="1"/>
  <c r="L175" i="10"/>
  <c r="L176" i="10" a="1"/>
  <c r="L176" i="10" s="1"/>
  <c r="L177" i="10" a="1"/>
  <c r="L177" i="10" s="1"/>
  <c r="L178" i="10" a="1"/>
  <c r="L178" i="10" s="1"/>
  <c r="L179" i="10" a="1"/>
  <c r="L179" i="10"/>
  <c r="L180" i="10" a="1"/>
  <c r="L180" i="10" s="1"/>
  <c r="L181" i="10" a="1"/>
  <c r="L181" i="10" s="1"/>
  <c r="L182" i="10" a="1"/>
  <c r="L182" i="10" s="1"/>
  <c r="L183" i="10" a="1"/>
  <c r="L183" i="10"/>
  <c r="L184" i="10" a="1"/>
  <c r="L184" i="10" s="1"/>
  <c r="L185" i="10" a="1"/>
  <c r="L185" i="10" s="1"/>
  <c r="L186" i="10" a="1"/>
  <c r="L186" i="10"/>
  <c r="L187" i="10" a="1"/>
  <c r="L187" i="10" s="1"/>
  <c r="L188" i="10" a="1"/>
  <c r="L188" i="10" s="1"/>
  <c r="L189" i="10" a="1"/>
  <c r="L189" i="10"/>
  <c r="L190" i="10" a="1"/>
  <c r="L190" i="10" s="1"/>
  <c r="L191" i="10" a="1"/>
  <c r="L191" i="10" s="1"/>
  <c r="L192" i="10" a="1"/>
  <c r="L192" i="10" s="1"/>
  <c r="L193" i="10" a="1"/>
  <c r="L193" i="10"/>
  <c r="L194" i="10" a="1"/>
  <c r="L194" i="10" s="1"/>
  <c r="L195" i="10" a="1"/>
  <c r="L195" i="10"/>
  <c r="L196" i="10" a="1"/>
  <c r="L196" i="10" s="1"/>
  <c r="L197" i="10" a="1"/>
  <c r="L197" i="10"/>
  <c r="L198" i="10" a="1"/>
  <c r="L198" i="10"/>
  <c r="L199" i="10" a="1"/>
  <c r="L199" i="10" s="1"/>
  <c r="L200" i="10" a="1"/>
  <c r="L200" i="10" s="1"/>
  <c r="L201" i="10" a="1"/>
  <c r="L201" i="10"/>
  <c r="L202" i="10" a="1"/>
  <c r="L202" i="10"/>
  <c r="L203" i="10" a="1"/>
  <c r="L203" i="10" s="1"/>
  <c r="L204" i="10" a="1"/>
  <c r="L204" i="10" s="1"/>
  <c r="L205" i="10" a="1"/>
  <c r="L205" i="10" s="1"/>
  <c r="L206" i="10" a="1"/>
  <c r="L206" i="10"/>
  <c r="L207" i="10" a="1"/>
  <c r="L207" i="10"/>
  <c r="L208" i="10" a="1"/>
  <c r="L208" i="10" s="1"/>
  <c r="L209" i="10" a="1"/>
  <c r="L209" i="10"/>
  <c r="L210" i="10" a="1"/>
  <c r="L210" i="10"/>
  <c r="L211" i="10" a="1"/>
  <c r="L211" i="10"/>
  <c r="L212" i="10" a="1"/>
  <c r="L212" i="10" s="1"/>
  <c r="L213" i="10" a="1"/>
  <c r="L213" i="10" s="1"/>
  <c r="L214" i="10" a="1"/>
  <c r="L214" i="10" s="1"/>
  <c r="L215" i="10" a="1"/>
  <c r="L215" i="10"/>
  <c r="L216" i="10" a="1"/>
  <c r="L216" i="10" s="1"/>
  <c r="L217" i="10" a="1"/>
  <c r="L217" i="10" s="1"/>
  <c r="L218" i="10" a="1"/>
  <c r="L218" i="10"/>
  <c r="L219" i="10" a="1"/>
  <c r="L219" i="10"/>
  <c r="L220" i="10" a="1"/>
  <c r="L220" i="10" s="1"/>
  <c r="L221" i="10" a="1"/>
  <c r="L221" i="10"/>
  <c r="L222" i="10" a="1"/>
  <c r="L222" i="10" s="1"/>
  <c r="L223" i="10" a="1"/>
  <c r="L223" i="10" s="1"/>
  <c r="L224" i="10" a="1"/>
  <c r="L224" i="10" s="1"/>
  <c r="L225" i="10" a="1"/>
  <c r="L225" i="10"/>
  <c r="L226" i="10" a="1"/>
  <c r="L226" i="10" s="1"/>
  <c r="L227" i="10" a="1"/>
  <c r="L227" i="10"/>
  <c r="L228" i="10" a="1"/>
  <c r="L228" i="10" s="1"/>
  <c r="L229" i="10" a="1"/>
  <c r="L229" i="10"/>
  <c r="L230" i="10" a="1"/>
  <c r="L230" i="10"/>
  <c r="L231" i="10" a="1"/>
  <c r="L231" i="10" s="1"/>
  <c r="L232" i="10" a="1"/>
  <c r="L232" i="10" s="1"/>
  <c r="L233" i="10" a="1"/>
  <c r="L233" i="10" s="1"/>
  <c r="L234" i="10" a="1"/>
  <c r="L234" i="10"/>
  <c r="L235" i="10" a="1"/>
  <c r="L235" i="10" s="1"/>
  <c r="L236" i="10" a="1"/>
  <c r="L236" i="10" s="1"/>
  <c r="L237" i="10" a="1"/>
  <c r="L237" i="10" s="1"/>
  <c r="L238" i="10" a="1"/>
  <c r="L238" i="10"/>
  <c r="L239" i="10" a="1"/>
  <c r="L239" i="10"/>
  <c r="L240" i="10" a="1"/>
  <c r="L240" i="10" s="1"/>
  <c r="L241" i="10" a="1"/>
  <c r="L241" i="10" s="1"/>
  <c r="L242" i="10" a="1"/>
  <c r="L242" i="10"/>
  <c r="L243" i="10" a="1"/>
  <c r="L243" i="10"/>
  <c r="L244" i="10" a="1"/>
  <c r="L244" i="10" s="1"/>
  <c r="L245" i="10" a="1"/>
  <c r="L245" i="10" s="1"/>
  <c r="L246" i="10" a="1"/>
  <c r="L246" i="10" s="1"/>
  <c r="L247" i="10" a="1"/>
  <c r="L247" i="10"/>
  <c r="L248" i="10" a="1"/>
  <c r="L248" i="10" s="1"/>
  <c r="L249" i="10" a="1"/>
  <c r="L249" i="10" s="1"/>
  <c r="L250" i="10" a="1"/>
  <c r="L250" i="10" s="1"/>
  <c r="L251" i="10" a="1"/>
  <c r="L251" i="10"/>
  <c r="L252" i="10" a="1"/>
  <c r="L252" i="10" s="1"/>
  <c r="L253" i="10" a="1"/>
  <c r="L253" i="10"/>
  <c r="L254" i="10" a="1"/>
  <c r="L254" i="10" s="1"/>
  <c r="L255" i="10" a="1"/>
  <c r="L255" i="10" s="1"/>
  <c r="L256" i="10" a="1"/>
  <c r="L256" i="10" s="1"/>
  <c r="L257" i="10" a="1"/>
  <c r="L257" i="10"/>
  <c r="L258" i="10" a="1"/>
  <c r="L258" i="10" s="1"/>
  <c r="L259" i="10" a="1"/>
  <c r="L259" i="10" s="1"/>
  <c r="L260" i="10" a="1"/>
  <c r="L260" i="10" s="1"/>
  <c r="L261" i="10" a="1"/>
  <c r="L261" i="10"/>
  <c r="L262" i="10" a="1"/>
  <c r="L262" i="10"/>
  <c r="L263" i="10" a="1"/>
  <c r="L263" i="10" s="1"/>
  <c r="L264" i="10" a="1"/>
  <c r="L264" i="10" s="1"/>
  <c r="L265" i="10" a="1"/>
  <c r="L265" i="10"/>
  <c r="L266" i="10" a="1"/>
  <c r="L266" i="10"/>
  <c r="L267" i="10" a="1"/>
  <c r="L267" i="10" s="1"/>
  <c r="L268" i="10" a="1"/>
  <c r="L268" i="10" s="1"/>
  <c r="L269" i="10" a="1"/>
  <c r="L269" i="10" s="1"/>
  <c r="L270" i="10" a="1"/>
  <c r="L270" i="10"/>
  <c r="L271" i="10" a="1"/>
  <c r="L271" i="10"/>
  <c r="L272" i="10" a="1"/>
  <c r="L272" i="10" s="1"/>
  <c r="L273" i="10" a="1"/>
  <c r="L273" i="10" s="1"/>
  <c r="L274" i="10" a="1"/>
  <c r="L274" i="10"/>
  <c r="L275" i="10" a="1"/>
  <c r="L275" i="10"/>
  <c r="L276" i="10" a="1"/>
  <c r="L276" i="10" s="1"/>
  <c r="L277" i="10" a="1"/>
  <c r="L277" i="10" s="1"/>
  <c r="L278" i="10" a="1"/>
  <c r="L278" i="10" s="1"/>
  <c r="L279" i="10" a="1"/>
  <c r="L279" i="10"/>
  <c r="L280" i="10" a="1"/>
  <c r="L280" i="10" s="1"/>
  <c r="L281" i="10" a="1"/>
  <c r="L281" i="10" s="1"/>
  <c r="L282" i="10" a="1"/>
  <c r="L282" i="10" s="1"/>
  <c r="L283" i="10" a="1"/>
  <c r="L283" i="10"/>
  <c r="L284" i="10" a="1"/>
  <c r="L284" i="10" s="1"/>
  <c r="L285" i="10" a="1"/>
  <c r="L285" i="10" s="1"/>
  <c r="L286" i="10" a="1"/>
  <c r="L286" i="10" s="1"/>
  <c r="L287" i="10" a="1"/>
  <c r="L287" i="10" s="1"/>
  <c r="L288" i="10" a="1"/>
  <c r="L288" i="10" s="1"/>
  <c r="L289" i="10" a="1"/>
  <c r="L289" i="10"/>
  <c r="L290" i="10" a="1"/>
  <c r="L290" i="10" s="1"/>
  <c r="L291" i="10" a="1"/>
  <c r="L291" i="10" s="1"/>
  <c r="L292" i="10" a="1"/>
  <c r="L292" i="10" s="1"/>
  <c r="L293" i="10" a="1"/>
  <c r="L293" i="10"/>
  <c r="L294" i="10" a="1"/>
  <c r="L294" i="10" s="1"/>
  <c r="L295" i="10" a="1"/>
  <c r="L295" i="10" s="1"/>
  <c r="L296" i="10" a="1"/>
  <c r="L296" i="10" s="1"/>
  <c r="L297" i="10" a="1"/>
  <c r="L297" i="10"/>
  <c r="L298" i="10" a="1"/>
  <c r="L298" i="10" s="1"/>
  <c r="L299" i="10" a="1"/>
  <c r="L299" i="10" s="1"/>
  <c r="L300" i="10" a="1"/>
  <c r="L300" i="10" s="1"/>
  <c r="L301" i="10" a="1"/>
  <c r="L301" i="10" s="1"/>
  <c r="L302" i="10" a="1"/>
  <c r="L302" i="10"/>
  <c r="L303" i="10" a="1"/>
  <c r="L303" i="10"/>
  <c r="L304" i="10" a="1"/>
  <c r="L304" i="10" s="1"/>
  <c r="L305" i="10" a="1"/>
  <c r="L305" i="10" s="1"/>
  <c r="L306" i="10" a="1"/>
  <c r="L306" i="10"/>
  <c r="L307" i="10" a="1"/>
  <c r="L307" i="10" s="1"/>
  <c r="L308" i="10" a="1"/>
  <c r="L308" i="10" s="1"/>
  <c r="L309" i="10" a="1"/>
  <c r="L309" i="10" s="1"/>
  <c r="L310" i="10" a="1"/>
  <c r="L310" i="10" s="1"/>
  <c r="L311" i="10" a="1"/>
  <c r="L311" i="10"/>
  <c r="L312" i="10" a="1"/>
  <c r="L312" i="10" s="1"/>
  <c r="L313" i="10" a="1"/>
  <c r="L313" i="10" s="1"/>
  <c r="L314" i="10" a="1"/>
  <c r="L314" i="10" s="1"/>
  <c r="L315" i="10" a="1"/>
  <c r="L315" i="10"/>
  <c r="L316" i="10" a="1"/>
  <c r="L316" i="10" s="1"/>
  <c r="L317" i="10" a="1"/>
  <c r="L317" i="10" s="1"/>
  <c r="L318" i="10" a="1"/>
  <c r="L318" i="10" s="1"/>
  <c r="L319" i="10" a="1"/>
  <c r="L319" i="10" s="1"/>
  <c r="L320" i="10" a="1"/>
  <c r="L320" i="10" s="1"/>
  <c r="L321" i="10" a="1"/>
  <c r="L321" i="10" s="1"/>
  <c r="L322" i="10" a="1"/>
  <c r="L322" i="10" s="1"/>
  <c r="L323" i="10" a="1"/>
  <c r="L323" i="10"/>
  <c r="L324" i="10" a="1"/>
  <c r="L324" i="10" s="1"/>
  <c r="L325" i="10" a="1"/>
  <c r="L325" i="10"/>
  <c r="L326" i="10" a="1"/>
  <c r="L326" i="10"/>
  <c r="L327" i="10" a="1"/>
  <c r="L327" i="10" s="1"/>
  <c r="L328" i="10" a="1"/>
  <c r="L328" i="10" s="1"/>
  <c r="L329" i="10" a="1"/>
  <c r="L329" i="10"/>
  <c r="L330" i="10" a="1"/>
  <c r="L330" i="10" s="1"/>
  <c r="L331" i="10" a="1"/>
  <c r="L331" i="10" s="1"/>
  <c r="L332" i="10" a="1"/>
  <c r="L332" i="10" s="1"/>
  <c r="L333" i="10" a="1"/>
  <c r="L333" i="10" s="1"/>
  <c r="L334" i="10" a="1"/>
  <c r="L334" i="10"/>
  <c r="L335" i="10" a="1"/>
  <c r="L335" i="10" s="1"/>
  <c r="L336" i="10" a="1"/>
  <c r="L336" i="10" s="1"/>
  <c r="L337" i="10" a="1"/>
  <c r="L337" i="10" s="1"/>
  <c r="L338" i="10" a="1"/>
  <c r="L338" i="10"/>
  <c r="L339" i="10" a="1"/>
  <c r="L339" i="10"/>
  <c r="L340" i="10" a="1"/>
  <c r="L340" i="10" s="1"/>
  <c r="L341" i="10" a="1"/>
  <c r="L341" i="10" s="1"/>
  <c r="L342" i="10" a="1"/>
  <c r="L342" i="10" s="1"/>
  <c r="L343" i="10" a="1"/>
  <c r="L343" i="10" s="1"/>
  <c r="L344" i="10" a="1"/>
  <c r="L344" i="10" s="1"/>
  <c r="L345" i="10" a="1"/>
  <c r="L345" i="10"/>
  <c r="L346" i="10" a="1"/>
  <c r="L346" i="10" s="1"/>
  <c r="L347" i="10" a="1"/>
  <c r="L347" i="10"/>
  <c r="L348" i="10" a="1"/>
  <c r="L348" i="10"/>
  <c r="L349" i="10" a="1"/>
  <c r="L349" i="10" s="1"/>
  <c r="L350" i="10" a="1"/>
  <c r="L350" i="10" s="1"/>
  <c r="L351" i="10" a="1"/>
  <c r="L351" i="10" s="1"/>
  <c r="L352" i="10" a="1"/>
  <c r="L352" i="10" s="1"/>
  <c r="L353" i="10" a="1"/>
  <c r="L353" i="10"/>
  <c r="L354" i="10" a="1"/>
  <c r="L354" i="10" s="1"/>
  <c r="L355" i="10" a="1"/>
  <c r="L355" i="10" s="1"/>
  <c r="L356" i="10" a="1"/>
  <c r="L356" i="10"/>
  <c r="L357" i="10" a="1"/>
  <c r="L357" i="10"/>
  <c r="L358" i="10" a="1"/>
  <c r="L358" i="10" s="1"/>
  <c r="L359" i="10" a="1"/>
  <c r="L359" i="10"/>
  <c r="L360" i="10" a="1"/>
  <c r="L360" i="10" s="1"/>
  <c r="L361" i="10" a="1"/>
  <c r="L361" i="10" s="1"/>
  <c r="L362" i="10" a="1"/>
  <c r="L362" i="10" s="1"/>
  <c r="L363" i="10" a="1"/>
  <c r="L363" i="10" s="1"/>
  <c r="L364" i="10" a="1"/>
  <c r="L364" i="10" s="1"/>
  <c r="L365" i="10" a="1"/>
  <c r="L365" i="10"/>
  <c r="L366" i="10" a="1"/>
  <c r="L366" i="10" s="1"/>
  <c r="L367" i="10" a="1"/>
  <c r="L367" i="10"/>
  <c r="L368" i="10" a="1"/>
  <c r="L368" i="10"/>
  <c r="L369" i="10" a="1"/>
  <c r="L369" i="10" s="1"/>
  <c r="L370" i="10" a="1"/>
  <c r="L370" i="10" s="1"/>
  <c r="L371" i="10" a="1"/>
  <c r="L371" i="10"/>
  <c r="L372" i="10" a="1"/>
  <c r="L372" i="10" s="1"/>
  <c r="L373" i="10" a="1"/>
  <c r="L373" i="10" s="1"/>
  <c r="L374" i="10" a="1"/>
  <c r="L374" i="10" s="1"/>
  <c r="L375" i="10" a="1"/>
  <c r="L375" i="10" s="1"/>
  <c r="L376" i="10" a="1"/>
  <c r="L376" i="10"/>
  <c r="L377" i="10" a="1"/>
  <c r="L377" i="10"/>
  <c r="L378" i="10" a="1"/>
  <c r="L378" i="10" s="1"/>
  <c r="L379" i="10" a="1"/>
  <c r="L379" i="10"/>
  <c r="L380" i="10" a="1"/>
  <c r="L380" i="10"/>
  <c r="L381" i="10" a="1"/>
  <c r="L381" i="10" s="1"/>
  <c r="L382" i="10" a="1"/>
  <c r="L382" i="10" s="1"/>
  <c r="L383" i="10" a="1"/>
  <c r="L383" i="10" s="1"/>
  <c r="L384" i="10" a="1"/>
  <c r="L384" i="10" s="1"/>
  <c r="L385" i="10" a="1"/>
  <c r="L385" i="10"/>
  <c r="L386" i="10" a="1"/>
  <c r="L386" i="10" s="1"/>
  <c r="L387" i="10" a="1"/>
  <c r="L387" i="10" s="1"/>
  <c r="L388" i="10" a="1"/>
  <c r="L388" i="10"/>
  <c r="L389" i="10" a="1"/>
  <c r="L389" i="10"/>
  <c r="L390" i="10" a="1"/>
  <c r="L390" i="10" s="1"/>
  <c r="L391" i="10" a="1"/>
  <c r="L391" i="10"/>
  <c r="L392" i="10" a="1"/>
  <c r="L392" i="10" s="1"/>
  <c r="L393" i="10" a="1"/>
  <c r="L393" i="10" s="1"/>
  <c r="L394" i="10" a="1"/>
  <c r="L394" i="10" s="1"/>
  <c r="L395" i="10" a="1"/>
  <c r="L395" i="10" s="1"/>
  <c r="L396" i="10" a="1"/>
  <c r="L396" i="10" s="1"/>
  <c r="L397" i="10" a="1"/>
  <c r="L397" i="10"/>
  <c r="L398" i="10" a="1"/>
  <c r="L398" i="10" s="1"/>
  <c r="L399" i="10" a="1"/>
  <c r="L399" i="10"/>
  <c r="L400" i="10" a="1"/>
  <c r="L400" i="10"/>
  <c r="L401" i="10" a="1"/>
  <c r="L401" i="10" s="1"/>
  <c r="L402" i="10" a="1"/>
  <c r="L402" i="10" s="1"/>
  <c r="L403" i="10" a="1"/>
  <c r="L403" i="10"/>
  <c r="L404" i="10" a="1"/>
  <c r="L404" i="10" s="1"/>
  <c r="L405" i="10" a="1"/>
  <c r="L405" i="10" s="1"/>
  <c r="L406" i="10" a="1"/>
  <c r="L406" i="10" s="1"/>
  <c r="L407" i="10" a="1"/>
  <c r="L407" i="10" s="1"/>
  <c r="L408" i="10" a="1"/>
  <c r="L408" i="10"/>
  <c r="L409" i="10" a="1"/>
  <c r="L409" i="10"/>
  <c r="L410" i="10" a="1"/>
  <c r="L410" i="10" s="1"/>
  <c r="L411" i="10" a="1"/>
  <c r="L411" i="10"/>
  <c r="L412" i="10" a="1"/>
  <c r="L412" i="10"/>
  <c r="L413" i="10" a="1"/>
  <c r="L413" i="10" s="1"/>
  <c r="L414" i="10" a="1"/>
  <c r="L414" i="10" s="1"/>
  <c r="L415" i="10" a="1"/>
  <c r="L415" i="10" s="1"/>
  <c r="L416" i="10" a="1"/>
  <c r="L416" i="10" s="1"/>
  <c r="L417" i="10" a="1"/>
  <c r="L417" i="10"/>
  <c r="L418" i="10" a="1"/>
  <c r="L418" i="10" s="1"/>
  <c r="L419" i="10" a="1"/>
  <c r="L419" i="10" s="1"/>
  <c r="L420" i="10" a="1"/>
  <c r="L420" i="10"/>
  <c r="L421" i="10" a="1"/>
  <c r="L421" i="10"/>
  <c r="L422" i="10" a="1"/>
  <c r="L422" i="10" s="1"/>
  <c r="L423" i="10" a="1"/>
  <c r="L423" i="10"/>
  <c r="L424" i="10" a="1"/>
  <c r="L424" i="10" s="1"/>
  <c r="L425" i="10" a="1"/>
  <c r="L425" i="10" s="1"/>
  <c r="L426" i="10" a="1"/>
  <c r="L426" i="10" s="1"/>
  <c r="L427" i="10" a="1"/>
  <c r="L427" i="10" s="1"/>
  <c r="L428" i="10" a="1"/>
  <c r="L428" i="10" s="1"/>
  <c r="L429" i="10" a="1"/>
  <c r="L429" i="10"/>
  <c r="L430" i="10" a="1"/>
  <c r="L430" i="10" s="1"/>
  <c r="L431" i="10" a="1"/>
  <c r="L431" i="10"/>
  <c r="L432" i="10" a="1"/>
  <c r="L432" i="10"/>
  <c r="L433" i="10" a="1"/>
  <c r="L433" i="10" s="1"/>
  <c r="L434" i="10" a="1"/>
  <c r="L434" i="10" s="1"/>
  <c r="L435" i="10" a="1"/>
  <c r="L435" i="10"/>
  <c r="L436" i="10" a="1"/>
  <c r="L436" i="10" s="1"/>
  <c r="L437" i="10" a="1"/>
  <c r="L437" i="10" s="1"/>
  <c r="L438" i="10" a="1"/>
  <c r="L438" i="10" s="1"/>
  <c r="L439" i="10" a="1"/>
  <c r="L439" i="10" s="1"/>
  <c r="L440" i="10" a="1"/>
  <c r="L440" i="10"/>
  <c r="L441" i="10" a="1"/>
  <c r="L441" i="10"/>
  <c r="L442" i="10" a="1"/>
  <c r="L442" i="10" s="1"/>
  <c r="L443" i="10" a="1"/>
  <c r="L443" i="10"/>
  <c r="L444" i="10" a="1"/>
  <c r="L444" i="10"/>
  <c r="L445" i="10" a="1"/>
  <c r="L445" i="10" s="1"/>
  <c r="L446" i="10" a="1"/>
  <c r="L446" i="10" s="1"/>
  <c r="L447" i="10" a="1"/>
  <c r="L447" i="10" s="1"/>
  <c r="L448" i="10" a="1"/>
  <c r="L448" i="10" s="1"/>
  <c r="L449" i="10" a="1"/>
  <c r="L449" i="10"/>
  <c r="L450" i="10" a="1"/>
  <c r="L450" i="10" s="1"/>
  <c r="L451" i="10" a="1"/>
  <c r="L451" i="10" s="1"/>
  <c r="L452" i="10" a="1"/>
  <c r="L452" i="10"/>
  <c r="L453" i="10" a="1"/>
  <c r="L453" i="10"/>
  <c r="L454" i="10" a="1"/>
  <c r="L454" i="10" s="1"/>
  <c r="L455" i="10" a="1"/>
  <c r="L455" i="10"/>
  <c r="L456" i="10" a="1"/>
  <c r="L456" i="10" s="1"/>
  <c r="L457" i="10" a="1"/>
  <c r="L457" i="10" s="1"/>
  <c r="L458" i="10" a="1"/>
  <c r="L458" i="10" s="1"/>
  <c r="L459" i="10" a="1"/>
  <c r="L459" i="10" s="1"/>
  <c r="L460" i="10" a="1"/>
  <c r="L460" i="10" s="1"/>
  <c r="L461" i="10" a="1"/>
  <c r="L461" i="10"/>
  <c r="L462" i="10" a="1"/>
  <c r="L462" i="10" s="1"/>
  <c r="L463" i="10" a="1"/>
  <c r="L463" i="10"/>
  <c r="L464" i="10" a="1"/>
  <c r="L464" i="10"/>
  <c r="L465" i="10" a="1"/>
  <c r="L465" i="10" s="1"/>
  <c r="L466" i="10" a="1"/>
  <c r="L466" i="10" s="1"/>
  <c r="L467" i="10" a="1"/>
  <c r="L467" i="10"/>
  <c r="L468" i="10" a="1"/>
  <c r="L468" i="10" s="1"/>
  <c r="L469" i="10" a="1"/>
  <c r="L469" i="10" s="1"/>
  <c r="L470" i="10" a="1"/>
  <c r="L470" i="10" s="1"/>
  <c r="L471" i="10" a="1"/>
  <c r="L471" i="10" s="1"/>
  <c r="L472" i="10" a="1"/>
  <c r="L472" i="10"/>
  <c r="L473" i="10" a="1"/>
  <c r="L473" i="10"/>
  <c r="L474" i="10" a="1"/>
  <c r="L474" i="10" s="1"/>
  <c r="L475" i="10" a="1"/>
  <c r="L475" i="10"/>
  <c r="L476" i="10" a="1"/>
  <c r="L476" i="10"/>
  <c r="L477" i="10" a="1"/>
  <c r="L477" i="10" s="1"/>
  <c r="L478" i="10" a="1"/>
  <c r="L478" i="10" s="1"/>
  <c r="L479" i="10" a="1"/>
  <c r="L479" i="10" s="1"/>
  <c r="L480" i="10" a="1"/>
  <c r="L480" i="10" s="1"/>
  <c r="L481" i="10" a="1"/>
  <c r="L481" i="10"/>
  <c r="L482" i="10" a="1"/>
  <c r="L482" i="10" s="1"/>
  <c r="L483" i="10" a="1"/>
  <c r="L483" i="10" s="1"/>
  <c r="L484" i="10" a="1"/>
  <c r="L484" i="10"/>
  <c r="L485" i="10" a="1"/>
  <c r="L485" i="10"/>
  <c r="L486" i="10" a="1"/>
  <c r="L486" i="10" s="1"/>
  <c r="L487" i="10" a="1"/>
  <c r="L487" i="10"/>
  <c r="L488" i="10" a="1"/>
  <c r="L488" i="10" s="1"/>
  <c r="L489" i="10" a="1"/>
  <c r="L489" i="10" s="1"/>
  <c r="L490" i="10" a="1"/>
  <c r="L490" i="10" s="1"/>
  <c r="L491" i="10" a="1"/>
  <c r="L491" i="10" s="1"/>
  <c r="L492" i="10" a="1"/>
  <c r="L492" i="10" s="1"/>
  <c r="L493" i="10" a="1"/>
  <c r="L493" i="10"/>
  <c r="L494" i="10" a="1"/>
  <c r="L494" i="10" s="1"/>
  <c r="L495" i="10" a="1"/>
  <c r="L495" i="10"/>
  <c r="L496" i="10" a="1"/>
  <c r="L496" i="10"/>
  <c r="L497" i="10" a="1"/>
  <c r="L497" i="10" s="1"/>
  <c r="L498" i="10" a="1"/>
  <c r="L498" i="10" s="1"/>
  <c r="L499" i="10" a="1"/>
  <c r="L499" i="10"/>
  <c r="L500" i="10" a="1"/>
  <c r="L500" i="10" s="1"/>
  <c r="L501" i="10" a="1"/>
  <c r="L501" i="10" s="1"/>
  <c r="L502" i="10" a="1"/>
  <c r="L502" i="10" s="1"/>
  <c r="L503" i="10" a="1"/>
  <c r="L503" i="10" s="1"/>
  <c r="L504" i="10" a="1"/>
  <c r="L504" i="10"/>
  <c r="L505" i="10" a="1"/>
  <c r="L505" i="10"/>
  <c r="L506" i="10" a="1"/>
  <c r="L506" i="10" s="1"/>
  <c r="L507" i="10" a="1"/>
  <c r="L507" i="10"/>
  <c r="L508" i="10" a="1"/>
  <c r="L508" i="10"/>
  <c r="L509" i="10" a="1"/>
  <c r="L509" i="10" s="1"/>
  <c r="L510" i="10" a="1"/>
  <c r="L510" i="10" s="1"/>
  <c r="L511" i="10" a="1"/>
  <c r="L511" i="10" s="1"/>
  <c r="L512" i="10" a="1"/>
  <c r="L512" i="10" s="1"/>
  <c r="L513" i="10" a="1"/>
  <c r="L513" i="10"/>
  <c r="L514" i="10" a="1"/>
  <c r="L514" i="10" s="1"/>
  <c r="L515" i="10" a="1"/>
  <c r="L515" i="10" s="1"/>
  <c r="L516" i="10" a="1"/>
  <c r="L516" i="10"/>
  <c r="L517" i="10" a="1"/>
  <c r="L517" i="10"/>
  <c r="L518" i="10" a="1"/>
  <c r="L518" i="10" s="1"/>
  <c r="L519" i="10" a="1"/>
  <c r="L519" i="10"/>
  <c r="L520" i="10" a="1"/>
  <c r="L520" i="10" s="1"/>
  <c r="L521" i="10" a="1"/>
  <c r="L521" i="10" s="1"/>
  <c r="L522" i="10" a="1"/>
  <c r="L522" i="10" s="1"/>
  <c r="L523" i="10" a="1"/>
  <c r="L523" i="10" s="1"/>
  <c r="L524" i="10" a="1"/>
  <c r="L524" i="10" s="1"/>
  <c r="L525" i="10" a="1"/>
  <c r="L525" i="10"/>
  <c r="L526" i="10" a="1"/>
  <c r="L526" i="10" s="1"/>
  <c r="L527" i="10" a="1"/>
  <c r="L527" i="10"/>
  <c r="L528" i="10" a="1"/>
  <c r="L528" i="10"/>
  <c r="L529" i="10" a="1"/>
  <c r="L529" i="10" s="1"/>
  <c r="L530" i="10" a="1"/>
  <c r="L530" i="10" s="1"/>
  <c r="L531" i="10" a="1"/>
  <c r="L531" i="10"/>
  <c r="L532" i="10" a="1"/>
  <c r="L532" i="10" s="1"/>
  <c r="L533" i="10" a="1"/>
  <c r="L533" i="10" s="1"/>
  <c r="L534" i="10" a="1"/>
  <c r="L534" i="10" s="1"/>
  <c r="L535" i="10" a="1"/>
  <c r="L535" i="10" s="1"/>
  <c r="L536" i="10" a="1"/>
  <c r="L536" i="10"/>
  <c r="L537" i="10" a="1"/>
  <c r="L537" i="10"/>
  <c r="L538" i="10" a="1"/>
  <c r="L538" i="10" s="1"/>
  <c r="L539" i="10" a="1"/>
  <c r="L539" i="10"/>
  <c r="L540" i="10" a="1"/>
  <c r="L540" i="10"/>
  <c r="L541" i="10" a="1"/>
  <c r="L541" i="10" s="1"/>
  <c r="L542" i="10" a="1"/>
  <c r="L542" i="10" s="1"/>
  <c r="L543" i="10" a="1"/>
  <c r="L543" i="10" s="1"/>
  <c r="L544" i="10" a="1"/>
  <c r="L544" i="10" s="1"/>
  <c r="L545" i="10" a="1"/>
  <c r="L545" i="10"/>
  <c r="L546" i="10" a="1"/>
  <c r="L546" i="10" s="1"/>
  <c r="L547" i="10" a="1"/>
  <c r="L547" i="10" s="1"/>
  <c r="L548" i="10" a="1"/>
  <c r="L548" i="10"/>
  <c r="L549" i="10" a="1"/>
  <c r="L549" i="10"/>
  <c r="L550" i="10" a="1"/>
  <c r="L550" i="10" s="1"/>
  <c r="L551" i="10" a="1"/>
  <c r="L551" i="10"/>
  <c r="L552" i="10" a="1"/>
  <c r="L552" i="10" s="1"/>
  <c r="L553" i="10" a="1"/>
  <c r="L553" i="10" s="1"/>
  <c r="L554" i="10" a="1"/>
  <c r="L554" i="10" s="1"/>
  <c r="L555" i="10" a="1"/>
  <c r="L555" i="10" s="1"/>
  <c r="L556" i="10" a="1"/>
  <c r="L556" i="10" s="1"/>
  <c r="L557" i="10" a="1"/>
  <c r="L557" i="10"/>
  <c r="L558" i="10" a="1"/>
  <c r="L558" i="10" s="1"/>
  <c r="L559" i="10" a="1"/>
  <c r="L559" i="10"/>
  <c r="L560" i="10" a="1"/>
  <c r="L560" i="10"/>
  <c r="L561" i="10" a="1"/>
  <c r="L561" i="10" s="1"/>
  <c r="L562" i="10" a="1"/>
  <c r="L562" i="10" s="1"/>
  <c r="L563" i="10" a="1"/>
  <c r="L563" i="10"/>
  <c r="L564" i="10" a="1"/>
  <c r="L564" i="10" s="1"/>
  <c r="L565" i="10" a="1"/>
  <c r="L565" i="10" s="1"/>
  <c r="L566" i="10" a="1"/>
  <c r="L566" i="10" s="1"/>
  <c r="L567" i="10" a="1"/>
  <c r="L567" i="10" s="1"/>
  <c r="L568" i="10" a="1"/>
  <c r="L568" i="10"/>
  <c r="L569" i="10" a="1"/>
  <c r="L569" i="10"/>
  <c r="L570" i="10" a="1"/>
  <c r="L570" i="10" s="1"/>
  <c r="L571" i="10" a="1"/>
  <c r="L571" i="10"/>
  <c r="L572" i="10" a="1"/>
  <c r="L572" i="10"/>
  <c r="L573" i="10" a="1"/>
  <c r="L573" i="10" s="1"/>
  <c r="L574" i="10" a="1"/>
  <c r="L574" i="10" s="1"/>
  <c r="L575" i="10" a="1"/>
  <c r="L575" i="10" s="1"/>
  <c r="L576" i="10" a="1"/>
  <c r="L576" i="10" s="1"/>
  <c r="L577" i="10" a="1"/>
  <c r="L577" i="10"/>
  <c r="L578" i="10" a="1"/>
  <c r="L578" i="10" s="1"/>
  <c r="L579" i="10" a="1"/>
  <c r="L579" i="10" s="1"/>
  <c r="L580" i="10" a="1"/>
  <c r="L580" i="10"/>
  <c r="L581" i="10" a="1"/>
  <c r="L581" i="10"/>
  <c r="L582" i="10" a="1"/>
  <c r="L582" i="10" s="1"/>
  <c r="L583" i="10" a="1"/>
  <c r="L583" i="10"/>
  <c r="L584" i="10" a="1"/>
  <c r="L584" i="10" s="1"/>
  <c r="L585" i="10" a="1"/>
  <c r="L585" i="10" s="1"/>
  <c r="L586" i="10" a="1"/>
  <c r="L586" i="10"/>
  <c r="L587" i="10" a="1"/>
  <c r="L587" i="10"/>
  <c r="L588" i="10" a="1"/>
  <c r="L588" i="10" s="1"/>
  <c r="L589" i="10" a="1"/>
  <c r="L589" i="10" s="1"/>
  <c r="L590" i="10" a="1"/>
  <c r="L590" i="10"/>
  <c r="L591" i="10" a="1"/>
  <c r="L591" i="10"/>
  <c r="L592" i="10" a="1"/>
  <c r="L592" i="10" s="1"/>
  <c r="L593" i="10" a="1"/>
  <c r="L593" i="10" s="1"/>
  <c r="L594" i="10" a="1"/>
  <c r="L594" i="10"/>
  <c r="L595" i="10" a="1"/>
  <c r="L595" i="10"/>
  <c r="L596" i="10" a="1"/>
  <c r="L596" i="10" s="1"/>
  <c r="L597" i="10" a="1"/>
  <c r="L597" i="10" s="1"/>
  <c r="L598" i="10" a="1"/>
  <c r="L598" i="10"/>
  <c r="L599" i="10" a="1"/>
  <c r="L599" i="10"/>
  <c r="L600" i="10" a="1"/>
  <c r="L600" i="10" s="1"/>
  <c r="L601" i="10" a="1"/>
  <c r="L601" i="10" s="1"/>
  <c r="L602" i="10" a="1"/>
  <c r="L602" i="10"/>
  <c r="L603" i="10" a="1"/>
  <c r="L603" i="10"/>
  <c r="L604" i="10" a="1"/>
  <c r="L604" i="10" s="1"/>
  <c r="L605" i="10" a="1"/>
  <c r="L605" i="10" s="1"/>
  <c r="L606" i="10" a="1"/>
  <c r="L606" i="10"/>
  <c r="L607" i="10" a="1"/>
  <c r="L607" i="10" s="1"/>
  <c r="L608" i="10" a="1"/>
  <c r="L608" i="10" s="1"/>
  <c r="L609" i="10" a="1"/>
  <c r="L609" i="10" s="1"/>
  <c r="L610" i="10" a="1"/>
  <c r="L610" i="10"/>
  <c r="L611" i="10" a="1"/>
  <c r="L611" i="10" s="1"/>
  <c r="L612" i="10" a="1"/>
  <c r="L612" i="10" s="1"/>
  <c r="L613" i="10" a="1"/>
  <c r="L613" i="10" s="1"/>
  <c r="L614" i="10" a="1"/>
  <c r="L614" i="10"/>
  <c r="L615" i="10" a="1"/>
  <c r="L615" i="10" s="1"/>
  <c r="L616" i="10" a="1"/>
  <c r="L616" i="10" s="1"/>
  <c r="L617" i="10" a="1"/>
  <c r="L617" i="10" s="1"/>
  <c r="L618" i="10" a="1"/>
  <c r="L618" i="10" s="1"/>
  <c r="L619" i="10" a="1"/>
  <c r="L619" i="10" s="1"/>
  <c r="L620" i="10" a="1"/>
  <c r="L620" i="10" s="1"/>
  <c r="L621" i="10" a="1"/>
  <c r="L621" i="10" s="1"/>
  <c r="L622" i="10" a="1"/>
  <c r="L622" i="10" s="1"/>
  <c r="L623" i="10" a="1"/>
  <c r="L623" i="10" s="1"/>
  <c r="L624" i="10" a="1"/>
  <c r="L624" i="10" s="1"/>
  <c r="L625" i="10" a="1"/>
  <c r="L625" i="10" s="1"/>
  <c r="L626" i="10" a="1"/>
  <c r="L626" i="10" s="1"/>
  <c r="L627" i="10" a="1"/>
  <c r="L627" i="10" s="1"/>
  <c r="L628" i="10" a="1"/>
  <c r="L628" i="10" s="1"/>
  <c r="L629" i="10" a="1"/>
  <c r="L629" i="10" s="1"/>
  <c r="L630" i="10" a="1"/>
  <c r="L630" i="10" s="1"/>
  <c r="L631" i="10" a="1"/>
  <c r="L631" i="10" s="1"/>
  <c r="L632" i="10" a="1"/>
  <c r="L632" i="10" s="1"/>
  <c r="L633" i="10" a="1"/>
  <c r="L633" i="10" s="1"/>
  <c r="L634" i="10" a="1"/>
  <c r="L634" i="10" s="1"/>
  <c r="L635" i="10" a="1"/>
  <c r="L635" i="10" s="1"/>
  <c r="L636" i="10" a="1"/>
  <c r="L636" i="10" s="1"/>
  <c r="L637" i="10" a="1"/>
  <c r="L637" i="10" s="1"/>
  <c r="L638" i="10" a="1"/>
  <c r="L638" i="10" s="1"/>
  <c r="L639" i="10" a="1"/>
  <c r="L639" i="10" s="1"/>
  <c r="L640" i="10" a="1"/>
  <c r="L640" i="10" s="1"/>
  <c r="L641" i="10" a="1"/>
  <c r="L641" i="10" s="1"/>
  <c r="L642" i="10" a="1"/>
  <c r="L642" i="10" s="1"/>
  <c r="L643" i="10" a="1"/>
  <c r="L643" i="10" s="1"/>
  <c r="L644" i="10" a="1"/>
  <c r="L644" i="10" s="1"/>
  <c r="L645" i="10" a="1"/>
  <c r="L645" i="10" s="1"/>
  <c r="L646" i="10" a="1"/>
  <c r="L646" i="10" s="1"/>
  <c r="L647" i="10" a="1"/>
  <c r="L647" i="10" s="1"/>
  <c r="L648" i="10" a="1"/>
  <c r="L648" i="10" s="1"/>
  <c r="H4" i="39"/>
  <c r="L3" i="38"/>
  <c r="E4" i="38"/>
  <c r="D4" i="38"/>
  <c r="L26" i="34"/>
  <c r="A16" i="32"/>
  <c r="F3" i="12"/>
  <c r="E3" i="12"/>
  <c r="D11" i="12" a="1"/>
  <c r="D11" i="12" s="1"/>
  <c r="F11" i="12" s="1"/>
  <c r="D7" i="12" a="1"/>
  <c r="D7" i="12" s="1"/>
  <c r="F6" i="12" s="1"/>
  <c r="D8" i="12" a="1"/>
  <c r="D8" i="12" s="1"/>
  <c r="F8" i="12" s="1"/>
  <c r="A17" i="12" a="1"/>
  <c r="A17" i="12" s="1"/>
  <c r="B16" i="12" s="1"/>
  <c r="E4" i="12"/>
  <c r="G5" i="12"/>
  <c r="F4" i="1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1AE2B40-A5AB-45AD-AF69-99884618D75D}" keepAlive="1" name="Query - All Cleaned Data" description="Connection to the 'All Cleaned Data' query in the workbook." type="5" refreshedVersion="8" background="1" saveData="1">
    <dbPr connection="Provider=Microsoft.Mashup.OleDb.1;Data Source=$Workbook$;Location=&quot;All Cleaned Data&quot;;Extended Properties=&quot;&quot;" command="SELECT * FROM [All Cleaned Data]"/>
  </connection>
  <connection id="2" xr16:uid="{300581B7-1432-40AC-9E12-A5A135762A9A}" keepAlive="1" name="Query - All Cleaned Data (2)" description="Connection to the 'All Cleaned Data (2)' query in the workbook." type="5" refreshedVersion="8" background="1" saveData="1">
    <dbPr connection="Provider=Microsoft.Mashup.OleDb.1;Data Source=$Workbook$;Location=&quot;All Cleaned Data (2)&quot;;Extended Properties=&quot;&quot;" command="SELECT * FROM [All Cleaned Data (2)]"/>
  </connection>
  <connection id="3" xr16:uid="{4102DB40-C925-470E-B725-724EBA437B81}" keepAlive="1" name="Query - All Cleaned Data (3)" description="Connection to the 'All Cleaned Data (3)' query in the workbook." type="5" refreshedVersion="8" background="1" saveData="1">
    <dbPr connection="Provider=Microsoft.Mashup.OleDb.1;Data Source=$Workbook$;Location=&quot;All Cleaned Data (3)&quot;;Extended Properties=&quot;&quot;" command="SELECT * FROM [All Cleaned Data (3)]"/>
  </connection>
  <connection id="4" xr16:uid="{F649CA9B-CC7E-4306-92C4-D6E5F06C9E82}" keepAlive="1" name="Query - All Cleaned Data (4)" description="Connection to the 'All Cleaned Data (4)' query in the workbook." type="5" refreshedVersion="8" background="1" saveData="1">
    <dbPr connection="Provider=Microsoft.Mashup.OleDb.1;Data Source=$Workbook$;Location=&quot;All Cleaned Data (4)&quot;;Extended Properties=&quot;&quot;" command="SELECT * FROM [All Cleaned Data (4)]"/>
  </connection>
  <connection id="5" xr16:uid="{677E87D4-358F-48A1-A671-9E051534462E}" keepAlive="1" name="Query - All Cleaned Data (5)" description="Connection to the 'All Cleaned Data (5)' query in the workbook." type="5" refreshedVersion="8" background="1" saveData="1">
    <dbPr connection="Provider=Microsoft.Mashup.OleDb.1;Data Source=$Workbook$;Location=&quot;All Cleaned Data (5)&quot;;Extended Properties=&quot;&quot;" command="SELECT * FROM [All Cleaned Data (5)]"/>
  </connection>
  <connection id="6" xr16:uid="{355AE645-F508-4AC0-92A5-926CE1B9E941}" keepAlive="1" name="Query - Data" description="Connection to the 'Data' query in the workbook." type="5" refreshedVersion="8" background="1" saveData="1">
    <dbPr connection="Provider=Microsoft.Mashup.OleDb.1;Data Source=$Workbook$;Location=Data;Extended Properties=&quot;&quot;" command="SELECT * FROM [Data]"/>
  </connection>
  <connection id="7" xr16:uid="{6D62D07C-4C75-4662-92D8-836256E35F54}" keepAlive="1" name="Query - Non-Sub Coverage" description="Connection to the 'Non-Sub Coverage' query in the workbook." type="5" refreshedVersion="8" background="1" saveData="1">
    <dbPr connection="Provider=Microsoft.Mashup.OleDb.1;Data Source=$Workbook$;Location=&quot;Non-Sub Coverage&quot;;Extended Properties=&quot;&quot;" command="SELECT * FROM [Non-Sub Coverage]"/>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<sst xmlns="http://schemas.openxmlformats.org/spreadsheetml/2006/main" count="5441" uniqueCount="945">
  <si>
    <t>Month</t>
  </si>
  <si>
    <t>Date</t>
  </si>
  <si>
    <t>Teacher</t>
  </si>
  <si>
    <t>Substitute</t>
  </si>
  <si>
    <t>Room</t>
  </si>
  <si>
    <t>Academy</t>
  </si>
  <si>
    <t>Periods Covered</t>
  </si>
  <si>
    <t>Periods List</t>
  </si>
  <si>
    <t>Aug</t>
  </si>
  <si>
    <t>Abarquez</t>
  </si>
  <si>
    <t>Erickson</t>
  </si>
  <si>
    <t>Everyone Else</t>
  </si>
  <si>
    <t>1st, 2nd, 3rd, 4th, 5th</t>
  </si>
  <si>
    <t>NSCC Prof.</t>
  </si>
  <si>
    <t>Payne</t>
  </si>
  <si>
    <t>1st, 2nd, 3rd, 4th, 5th, 6th, 7th</t>
  </si>
  <si>
    <t>Domanico</t>
  </si>
  <si>
    <t>Hindieh</t>
  </si>
  <si>
    <t>2nd, 3rd, 4th, 5th, 7th</t>
  </si>
  <si>
    <t>Wang</t>
  </si>
  <si>
    <t>Jones</t>
  </si>
  <si>
    <t>3rd, 4th, 5th, 6th, 7th</t>
  </si>
  <si>
    <t>Lopez</t>
  </si>
  <si>
    <t>Ullah</t>
  </si>
  <si>
    <t>1st, 3rd, 4th, 6th, 7th</t>
  </si>
  <si>
    <t>Borrero AM</t>
  </si>
  <si>
    <t>Rita</t>
  </si>
  <si>
    <t>Freshman Academy</t>
  </si>
  <si>
    <t>3rd, 5th, 7th</t>
  </si>
  <si>
    <t>1st, 3rd, 5th</t>
  </si>
  <si>
    <t>1st, 3rd, 5th, 7th</t>
  </si>
  <si>
    <t>Braston</t>
  </si>
  <si>
    <t>3rd, 5th</t>
  </si>
  <si>
    <t>Banfield</t>
  </si>
  <si>
    <t>1st</t>
  </si>
  <si>
    <t>CCR, 4th, 6th</t>
  </si>
  <si>
    <t>Henley</t>
  </si>
  <si>
    <t>CCR, 2nd, 4th</t>
  </si>
  <si>
    <t>2nd, 4th, 6th</t>
  </si>
  <si>
    <t>Griffin</t>
  </si>
  <si>
    <t>CCR, 2nd, 4th, 6th</t>
  </si>
  <si>
    <t>CCR, 2nd</t>
  </si>
  <si>
    <t>McCord</t>
  </si>
  <si>
    <t>Muhlstadt</t>
  </si>
  <si>
    <t>1st, 2nd, 3rd, 4th, 7th</t>
  </si>
  <si>
    <t>Brownfield</t>
  </si>
  <si>
    <t>Eaton</t>
  </si>
  <si>
    <t>1st, 2nd, 3rd, 4th, 5th, 6th</t>
  </si>
  <si>
    <t>Lyons</t>
  </si>
  <si>
    <t>1st, 2nd, 3rd, 5th, 6th</t>
  </si>
  <si>
    <t>McClanahan AM</t>
  </si>
  <si>
    <t>1st, 2nd, 3rd, 6th, 7th</t>
  </si>
  <si>
    <t>Glover</t>
  </si>
  <si>
    <t>Usoh</t>
  </si>
  <si>
    <t>1st, 3rd, 7th</t>
  </si>
  <si>
    <t>Munoz</t>
  </si>
  <si>
    <t>Jordan</t>
  </si>
  <si>
    <t>Rhodes</t>
  </si>
  <si>
    <t>Johnson</t>
  </si>
  <si>
    <t>CCR, 2nd, 6th</t>
  </si>
  <si>
    <t>Diehl PM</t>
  </si>
  <si>
    <t>Rasmussen AM</t>
  </si>
  <si>
    <t>Williamson</t>
  </si>
  <si>
    <t>Roth</t>
  </si>
  <si>
    <t>Sosa-Ram PM</t>
  </si>
  <si>
    <t>1st, 2nd, 5th, 6th, 7th</t>
  </si>
  <si>
    <t>Palmer</t>
  </si>
  <si>
    <t>Yarbrough</t>
  </si>
  <si>
    <t>2nd, 4th</t>
  </si>
  <si>
    <t>Coppock</t>
  </si>
  <si>
    <t>Seasoltz</t>
  </si>
  <si>
    <t>Cardwell</t>
  </si>
  <si>
    <t>Hamadani</t>
  </si>
  <si>
    <t>Diehl</t>
  </si>
  <si>
    <t>Woodcock</t>
  </si>
  <si>
    <t>1st, 4th, 5th, 6th, 7th</t>
  </si>
  <si>
    <t>McClanahan</t>
  </si>
  <si>
    <t>Madison</t>
  </si>
  <si>
    <t>Anderson</t>
  </si>
  <si>
    <t>Borrero</t>
  </si>
  <si>
    <t>Guidry PM</t>
  </si>
  <si>
    <t>Passen</t>
  </si>
  <si>
    <t>Guidry AM</t>
  </si>
  <si>
    <t>Heath</t>
  </si>
  <si>
    <t>Gleaves</t>
  </si>
  <si>
    <t>2nd, 3rd, 4th, 5th, 6th, 7th</t>
  </si>
  <si>
    <t>Towns-B</t>
  </si>
  <si>
    <t>Gleaves/Payne</t>
  </si>
  <si>
    <t>Russell</t>
  </si>
  <si>
    <t>Ganley</t>
  </si>
  <si>
    <t>1st, 2nd, 4th, 5th, 7th</t>
  </si>
  <si>
    <t>Cole</t>
  </si>
  <si>
    <t>McFarland</t>
  </si>
  <si>
    <t>NSCC</t>
  </si>
  <si>
    <t>Crisan</t>
  </si>
  <si>
    <t>Christian</t>
  </si>
  <si>
    <t>Evans</t>
  </si>
  <si>
    <t>Towns-G</t>
  </si>
  <si>
    <t>1st, 5th, 7th</t>
  </si>
  <si>
    <t>C. Scott</t>
  </si>
  <si>
    <t>Braston PM</t>
  </si>
  <si>
    <t>Banfield PM</t>
  </si>
  <si>
    <t>Kendricks</t>
  </si>
  <si>
    <t>P. Scott</t>
  </si>
  <si>
    <t>Sep</t>
  </si>
  <si>
    <t>Claypool</t>
  </si>
  <si>
    <t>Croft</t>
  </si>
  <si>
    <t>Chanpetch AM</t>
  </si>
  <si>
    <t>NSCC Prof</t>
  </si>
  <si>
    <t>Diaz</t>
  </si>
  <si>
    <t>Bartel</t>
  </si>
  <si>
    <t>Evans PM</t>
  </si>
  <si>
    <t>2nd, 3rd, 5th, 6th, 7th</t>
  </si>
  <si>
    <t>Munoz PM</t>
  </si>
  <si>
    <t>Epps</t>
  </si>
  <si>
    <t>Baughn AM</t>
  </si>
  <si>
    <t>Chambliss</t>
  </si>
  <si>
    <t>Hebert</t>
  </si>
  <si>
    <t>Domanico PM</t>
  </si>
  <si>
    <t>Banf. AM Job</t>
  </si>
  <si>
    <t>Banf. PM Job</t>
  </si>
  <si>
    <t>Belding</t>
  </si>
  <si>
    <t>McClanahan PM</t>
  </si>
  <si>
    <t>Sosa-Ram AM</t>
  </si>
  <si>
    <t>Hart</t>
  </si>
  <si>
    <t>Christian AM</t>
  </si>
  <si>
    <t>Garcia</t>
  </si>
  <si>
    <t>Scott, P</t>
  </si>
  <si>
    <t>Gue Caal</t>
  </si>
  <si>
    <t>Brewer</t>
  </si>
  <si>
    <t>Nastri (1/2 day p.m.)</t>
  </si>
  <si>
    <t>4th, 6th</t>
  </si>
  <si>
    <t>Garcia PM</t>
  </si>
  <si>
    <t>Armstrong</t>
  </si>
  <si>
    <t>Dummer</t>
  </si>
  <si>
    <t>1st, 3rd, 4th, 5th, 6th</t>
  </si>
  <si>
    <t>Sosa-Ram</t>
  </si>
  <si>
    <t>Kendrick PM</t>
  </si>
  <si>
    <t>Miller</t>
  </si>
  <si>
    <t>Weeks</t>
  </si>
  <si>
    <t>Rasmussen</t>
  </si>
  <si>
    <t>Baughn</t>
  </si>
  <si>
    <t>Culp</t>
  </si>
  <si>
    <t>Payne/Gleaves</t>
  </si>
  <si>
    <t>Guidry</t>
  </si>
  <si>
    <t>Girgis</t>
  </si>
  <si>
    <t>Wright</t>
  </si>
  <si>
    <t>Oct</t>
  </si>
  <si>
    <t>League</t>
  </si>
  <si>
    <t>Leonard</t>
  </si>
  <si>
    <t>Beebe-Lopez</t>
  </si>
  <si>
    <t>Brewer AM</t>
  </si>
  <si>
    <t>Kendrick</t>
  </si>
  <si>
    <t>1st, 3rd, 6th, 7th</t>
  </si>
  <si>
    <t>1st, 7th</t>
  </si>
  <si>
    <t>1st, 6th, 7th</t>
  </si>
  <si>
    <t>1st, 6th</t>
  </si>
  <si>
    <t>Edwards</t>
  </si>
  <si>
    <t>Heath AM</t>
  </si>
  <si>
    <t>Croft PM</t>
  </si>
  <si>
    <t>Garcia AM</t>
  </si>
  <si>
    <t>Evans AM</t>
  </si>
  <si>
    <t>Anderson AM</t>
  </si>
  <si>
    <t>Kelley AM</t>
  </si>
  <si>
    <t>Nov</t>
  </si>
  <si>
    <t>Coppock PM</t>
  </si>
  <si>
    <t>Prado</t>
  </si>
  <si>
    <t>CJ Scott</t>
  </si>
  <si>
    <t>P. Scott PM</t>
  </si>
  <si>
    <t>Muhlstadt PM</t>
  </si>
  <si>
    <t>McGowen</t>
  </si>
  <si>
    <t>Diaz AM</t>
  </si>
  <si>
    <t>Seasoltz AM</t>
  </si>
  <si>
    <t>Cole PM</t>
  </si>
  <si>
    <t>Armstong</t>
  </si>
  <si>
    <t>Weeks PM</t>
  </si>
  <si>
    <t>C. Garcia</t>
  </si>
  <si>
    <t>Hebert PM</t>
  </si>
  <si>
    <t>Chanpetch</t>
  </si>
  <si>
    <t>Arrighi</t>
  </si>
  <si>
    <t>Brewer PM</t>
  </si>
  <si>
    <t>Madison Mid</t>
  </si>
  <si>
    <t>McGowen Mid</t>
  </si>
  <si>
    <t>Dec</t>
  </si>
  <si>
    <t>Cardwell PM</t>
  </si>
  <si>
    <t>Borrero PM</t>
  </si>
  <si>
    <t>Anderson PM</t>
  </si>
  <si>
    <t>Towns-B PM</t>
  </si>
  <si>
    <t>Pratt</t>
  </si>
  <si>
    <t>Towns-G PM</t>
  </si>
  <si>
    <t>Wright PM</t>
  </si>
  <si>
    <t>Wilson</t>
  </si>
  <si>
    <t>C. Scott PM</t>
  </si>
  <si>
    <t>1st, 2nd</t>
  </si>
  <si>
    <t>League AM</t>
  </si>
  <si>
    <t>CCR, 6th</t>
  </si>
  <si>
    <t>4th, 7th</t>
  </si>
  <si>
    <t>Jan</t>
  </si>
  <si>
    <t>Garica</t>
  </si>
  <si>
    <t>4th, 5th, 7th</t>
  </si>
  <si>
    <t>Abugumiza</t>
  </si>
  <si>
    <t>"Towns-B"</t>
  </si>
  <si>
    <t>Hart PM</t>
  </si>
  <si>
    <t>P. Scott AM</t>
  </si>
  <si>
    <t>Sosa-Ramirez</t>
  </si>
  <si>
    <t>Feb</t>
  </si>
  <si>
    <t>Ex. Ed.</t>
  </si>
  <si>
    <t>Towns-B'</t>
  </si>
  <si>
    <t>Gleaves W/Childs</t>
  </si>
  <si>
    <t>Claybrooks PM</t>
  </si>
  <si>
    <t>Stover</t>
  </si>
  <si>
    <t>1st, 3rd</t>
  </si>
  <si>
    <t>Woodcock PM</t>
  </si>
  <si>
    <t>6th, 4th, CCR</t>
  </si>
  <si>
    <t>6th, 2nd, 4th, CCR</t>
  </si>
  <si>
    <t>2nd, 4th, CCR</t>
  </si>
  <si>
    <t>J. Wilson</t>
  </si>
  <si>
    <t>108</t>
  </si>
  <si>
    <t>214</t>
  </si>
  <si>
    <t>136</t>
  </si>
  <si>
    <t>120</t>
  </si>
  <si>
    <t>115</t>
  </si>
  <si>
    <t>213</t>
  </si>
  <si>
    <t>Gym</t>
  </si>
  <si>
    <t>209</t>
  </si>
  <si>
    <t>149</t>
  </si>
  <si>
    <t>157</t>
  </si>
  <si>
    <t>118</t>
  </si>
  <si>
    <t>208</t>
  </si>
  <si>
    <t>107</t>
  </si>
  <si>
    <t>233</t>
  </si>
  <si>
    <t>110</t>
  </si>
  <si>
    <t>165</t>
  </si>
  <si>
    <t>222</t>
  </si>
  <si>
    <t>210</t>
  </si>
  <si>
    <t>201</t>
  </si>
  <si>
    <t>221</t>
  </si>
  <si>
    <t>205</t>
  </si>
  <si>
    <t>109</t>
  </si>
  <si>
    <t>104</t>
  </si>
  <si>
    <t>121</t>
  </si>
  <si>
    <t>142</t>
  </si>
  <si>
    <t>139</t>
  </si>
  <si>
    <t>Mixed</t>
  </si>
  <si>
    <t>158</t>
  </si>
  <si>
    <t>232</t>
  </si>
  <si>
    <t>215</t>
  </si>
  <si>
    <t>229</t>
  </si>
  <si>
    <t>117</t>
  </si>
  <si>
    <t>163</t>
  </si>
  <si>
    <t>138</t>
  </si>
  <si>
    <t>223</t>
  </si>
  <si>
    <t>162</t>
  </si>
  <si>
    <t>217</t>
  </si>
  <si>
    <t>144</t>
  </si>
  <si>
    <t>224</t>
  </si>
  <si>
    <t>119</t>
  </si>
  <si>
    <t>124</t>
  </si>
  <si>
    <t>147</t>
  </si>
  <si>
    <t>Tea Room</t>
  </si>
  <si>
    <t>111</t>
  </si>
  <si>
    <t>141</t>
  </si>
  <si>
    <t>128</t>
  </si>
  <si>
    <t>231</t>
  </si>
  <si>
    <t>122</t>
  </si>
  <si>
    <t>134/135</t>
  </si>
  <si>
    <t>114</t>
  </si>
  <si>
    <t>145</t>
  </si>
  <si>
    <t>230</t>
  </si>
  <si>
    <t>164</t>
  </si>
  <si>
    <t>216</t>
  </si>
  <si>
    <t>225</t>
  </si>
  <si>
    <t>140</t>
  </si>
  <si>
    <t>202</t>
  </si>
  <si>
    <t>204</t>
  </si>
  <si>
    <t>118A</t>
  </si>
  <si>
    <t>129</t>
  </si>
  <si>
    <t>GYM</t>
  </si>
  <si>
    <t>219</t>
  </si>
  <si>
    <t>127</t>
  </si>
  <si>
    <t>112</t>
  </si>
  <si>
    <t>220</t>
  </si>
  <si>
    <t>118 A</t>
  </si>
  <si>
    <t>134</t>
  </si>
  <si>
    <t>116</t>
  </si>
  <si>
    <t>227</t>
  </si>
  <si>
    <t>Row Labels</t>
  </si>
  <si>
    <t>Grand Total</t>
  </si>
  <si>
    <t>(All)</t>
  </si>
  <si>
    <t>Count of Teacher</t>
  </si>
  <si>
    <t>Count of Substitute</t>
  </si>
  <si>
    <t>Job #</t>
  </si>
  <si>
    <t>2436647</t>
  </si>
  <si>
    <t>2437678</t>
  </si>
  <si>
    <t>2436649</t>
  </si>
  <si>
    <t>2438486</t>
  </si>
  <si>
    <t>2436650</t>
  </si>
  <si>
    <t>2436835</t>
  </si>
  <si>
    <t>2437720</t>
  </si>
  <si>
    <t>2438685</t>
  </si>
  <si>
    <t>2440412</t>
  </si>
  <si>
    <t>2436989</t>
  </si>
  <si>
    <t>2442673</t>
  </si>
  <si>
    <t>2445034</t>
  </si>
  <si>
    <t>2442316</t>
  </si>
  <si>
    <t>2437283</t>
  </si>
  <si>
    <t>2448581</t>
  </si>
  <si>
    <t>2448394</t>
  </si>
  <si>
    <t>2437860</t>
  </si>
  <si>
    <t>2437861</t>
  </si>
  <si>
    <t>2444903</t>
  </si>
  <si>
    <t>2437174</t>
  </si>
  <si>
    <t>2455784</t>
  </si>
  <si>
    <t>2456323</t>
  </si>
  <si>
    <t>2438717</t>
  </si>
  <si>
    <t>2459212</t>
  </si>
  <si>
    <t>2460561</t>
  </si>
  <si>
    <t>2462305</t>
  </si>
  <si>
    <t>2462273</t>
  </si>
  <si>
    <t>2463713</t>
  </si>
  <si>
    <t>2459150</t>
  </si>
  <si>
    <t>2467942</t>
  </si>
  <si>
    <t>2469276</t>
  </si>
  <si>
    <t>2470816</t>
  </si>
  <si>
    <t>2471499</t>
  </si>
  <si>
    <t>2470843</t>
  </si>
  <si>
    <t>2468702</t>
  </si>
  <si>
    <t>2472238</t>
  </si>
  <si>
    <t>2474664</t>
  </si>
  <si>
    <t>2475123</t>
  </si>
  <si>
    <t>2475376</t>
  </si>
  <si>
    <t>2474939</t>
  </si>
  <si>
    <t>2476110</t>
  </si>
  <si>
    <t>2477387</t>
  </si>
  <si>
    <t>2477927</t>
  </si>
  <si>
    <t>2477565</t>
  </si>
  <si>
    <t>2478962</t>
  </si>
  <si>
    <t>2479736</t>
  </si>
  <si>
    <t>2466986</t>
  </si>
  <si>
    <t>2481214</t>
  </si>
  <si>
    <t>2481251</t>
  </si>
  <si>
    <t>2482359</t>
  </si>
  <si>
    <t>2483691</t>
  </si>
  <si>
    <t>2487164</t>
  </si>
  <si>
    <t>2488121</t>
  </si>
  <si>
    <t>2476972</t>
  </si>
  <si>
    <t>2478920</t>
  </si>
  <si>
    <t>2488180</t>
  </si>
  <si>
    <t>2490343</t>
  </si>
  <si>
    <t>2500034</t>
  </si>
  <si>
    <t>2500389</t>
  </si>
  <si>
    <t>2501721</t>
  </si>
  <si>
    <t>2501376</t>
  </si>
  <si>
    <t>2502864</t>
  </si>
  <si>
    <t>2503401</t>
  </si>
  <si>
    <t>2503353</t>
  </si>
  <si>
    <t>2497973</t>
  </si>
  <si>
    <t>2504566</t>
  </si>
  <si>
    <t>2443759</t>
  </si>
  <si>
    <t>2443760</t>
  </si>
  <si>
    <t>2482396</t>
  </si>
  <si>
    <t xml:space="preserve">Periods Covered </t>
  </si>
  <si>
    <t>2440345</t>
  </si>
  <si>
    <t>2436648</t>
  </si>
  <si>
    <t>2437732</t>
  </si>
  <si>
    <t>2438101</t>
  </si>
  <si>
    <t>2436849</t>
  </si>
  <si>
    <t>2438113</t>
  </si>
  <si>
    <t>2439720</t>
  </si>
  <si>
    <t>2439735</t>
  </si>
  <si>
    <t>2438114</t>
  </si>
  <si>
    <t>2439993</t>
  </si>
  <si>
    <t>2440068</t>
  </si>
  <si>
    <t>2440111</t>
  </si>
  <si>
    <t>2440346</t>
  </si>
  <si>
    <t>2439762</t>
  </si>
  <si>
    <t>2440375</t>
  </si>
  <si>
    <t>2439765</t>
  </si>
  <si>
    <t>2440783</t>
  </si>
  <si>
    <t>2440917</t>
  </si>
  <si>
    <t>2441081</t>
  </si>
  <si>
    <t>2438067</t>
  </si>
  <si>
    <t>2441544</t>
  </si>
  <si>
    <t>2441642</t>
  </si>
  <si>
    <t>2442235</t>
  </si>
  <si>
    <t>2442758</t>
  </si>
  <si>
    <t>2442774</t>
  </si>
  <si>
    <t>2442784</t>
  </si>
  <si>
    <t>2443013</t>
  </si>
  <si>
    <t>2443130</t>
  </si>
  <si>
    <t>2443180</t>
  </si>
  <si>
    <t>2443719</t>
  </si>
  <si>
    <t>2443267</t>
  </si>
  <si>
    <t>2436882</t>
  </si>
  <si>
    <t>2443420</t>
  </si>
  <si>
    <t>2443621</t>
  </si>
  <si>
    <t>2443701</t>
  </si>
  <si>
    <t>2443731</t>
  </si>
  <si>
    <t>244308</t>
  </si>
  <si>
    <t>2444213</t>
  </si>
  <si>
    <t>2444249</t>
  </si>
  <si>
    <t>2444279</t>
  </si>
  <si>
    <t>2444364</t>
  </si>
  <si>
    <t>2444353</t>
  </si>
  <si>
    <t>2444726</t>
  </si>
  <si>
    <t>2444874</t>
  </si>
  <si>
    <t>2444974</t>
  </si>
  <si>
    <t>2445022</t>
  </si>
  <si>
    <t>2445044</t>
  </si>
  <si>
    <t>2445493</t>
  </si>
  <si>
    <t>2443418</t>
  </si>
  <si>
    <t>2445139</t>
  </si>
  <si>
    <t>2445892</t>
  </si>
  <si>
    <t>2445967</t>
  </si>
  <si>
    <t>2446570</t>
  </si>
  <si>
    <t>2445988</t>
  </si>
  <si>
    <t>2446193</t>
  </si>
  <si>
    <t>2446276</t>
  </si>
  <si>
    <t>2446292</t>
  </si>
  <si>
    <t>2445748</t>
  </si>
  <si>
    <t>2446808</t>
  </si>
  <si>
    <t>2446916</t>
  </si>
  <si>
    <t>2446926</t>
  </si>
  <si>
    <t>2447025</t>
  </si>
  <si>
    <t>2445568</t>
  </si>
  <si>
    <t>2447549</t>
  </si>
  <si>
    <t>2447551</t>
  </si>
  <si>
    <t>2447445</t>
  </si>
  <si>
    <t>2447342</t>
  </si>
  <si>
    <t>2442550</t>
  </si>
  <si>
    <t>2447908</t>
  </si>
  <si>
    <t>2448010</t>
  </si>
  <si>
    <t>2447733</t>
  </si>
  <si>
    <t>2446450</t>
  </si>
  <si>
    <t>2448691</t>
  </si>
  <si>
    <t>2448697</t>
  </si>
  <si>
    <t>2448701</t>
  </si>
  <si>
    <t>2440349</t>
  </si>
  <si>
    <t>2448391</t>
  </si>
  <si>
    <t>2449365</t>
  </si>
  <si>
    <t>2447748</t>
  </si>
  <si>
    <t>2448868</t>
  </si>
  <si>
    <t>2441175</t>
  </si>
  <si>
    <t>2442551</t>
  </si>
  <si>
    <t>2447448</t>
  </si>
  <si>
    <t>2448399</t>
  </si>
  <si>
    <t>2446626</t>
  </si>
  <si>
    <t>2447732</t>
  </si>
  <si>
    <t>2451418</t>
  </si>
  <si>
    <t>2451419</t>
  </si>
  <si>
    <t>2451109</t>
  </si>
  <si>
    <t>2451143</t>
  </si>
  <si>
    <t>2451140</t>
  </si>
  <si>
    <t>2451172</t>
  </si>
  <si>
    <t>2441257</t>
  </si>
  <si>
    <t>2451458</t>
  </si>
  <si>
    <t>2451429</t>
  </si>
  <si>
    <t>2451530</t>
  </si>
  <si>
    <t>2451611</t>
  </si>
  <si>
    <t>2452318</t>
  </si>
  <si>
    <t>2452109</t>
  </si>
  <si>
    <t>2452290</t>
  </si>
  <si>
    <t>2452208</t>
  </si>
  <si>
    <t>2452288</t>
  </si>
  <si>
    <t>2452918</t>
  </si>
  <si>
    <t>2452597</t>
  </si>
  <si>
    <t>2453534</t>
  </si>
  <si>
    <t>2444904</t>
  </si>
  <si>
    <t>2453576</t>
  </si>
  <si>
    <t>2437251</t>
  </si>
  <si>
    <t>2452618</t>
  </si>
  <si>
    <t>2453961</t>
  </si>
  <si>
    <t>2454204</t>
  </si>
  <si>
    <t>2444905</t>
  </si>
  <si>
    <t>2445184</t>
  </si>
  <si>
    <t>2453210</t>
  </si>
  <si>
    <t>2454466</t>
  </si>
  <si>
    <t>2454900</t>
  </si>
  <si>
    <t>2454103</t>
  </si>
  <si>
    <t>2454798</t>
  </si>
  <si>
    <t>2455227</t>
  </si>
  <si>
    <t>2455269</t>
  </si>
  <si>
    <t>2442319</t>
  </si>
  <si>
    <t>2455868</t>
  </si>
  <si>
    <t>2455507</t>
  </si>
  <si>
    <t>2452496</t>
  </si>
  <si>
    <t>2455361</t>
  </si>
  <si>
    <t>2456172</t>
  </si>
  <si>
    <t>2455454</t>
  </si>
  <si>
    <t>2456010</t>
  </si>
  <si>
    <t>2456417</t>
  </si>
  <si>
    <t>2439808</t>
  </si>
  <si>
    <t>2456883</t>
  </si>
  <si>
    <t>2454889</t>
  </si>
  <si>
    <t>2456905</t>
  </si>
  <si>
    <t>2442320</t>
  </si>
  <si>
    <t>2439809</t>
  </si>
  <si>
    <t>2456180</t>
  </si>
  <si>
    <t>2456969</t>
  </si>
  <si>
    <t>2457115</t>
  </si>
  <si>
    <t>2456639</t>
  </si>
  <si>
    <t>2457872</t>
  </si>
  <si>
    <t>2458600</t>
  </si>
  <si>
    <t>2456640</t>
  </si>
  <si>
    <t>2458289</t>
  </si>
  <si>
    <t>2458642</t>
  </si>
  <si>
    <t>2439902</t>
  </si>
  <si>
    <t>2457693</t>
  </si>
  <si>
    <t>2458929</t>
  </si>
  <si>
    <t>2459124</t>
  </si>
  <si>
    <t>2459163</t>
  </si>
  <si>
    <t>2459206</t>
  </si>
  <si>
    <t>2442552</t>
  </si>
  <si>
    <t>2455508</t>
  </si>
  <si>
    <t>2458173</t>
  </si>
  <si>
    <t>2458426</t>
  </si>
  <si>
    <t>2458739</t>
  </si>
  <si>
    <t>2459703</t>
  </si>
  <si>
    <t>2460141</t>
  </si>
  <si>
    <t>2459851</t>
  </si>
  <si>
    <t>2459907</t>
  </si>
  <si>
    <t>2460192</t>
  </si>
  <si>
    <t>2459989</t>
  </si>
  <si>
    <t>2458425</t>
  </si>
  <si>
    <t>2460610</t>
  </si>
  <si>
    <t>2460617</t>
  </si>
  <si>
    <t>2437773</t>
  </si>
  <si>
    <t>2454790</t>
  </si>
  <si>
    <t>2455509</t>
  </si>
  <si>
    <t>2461707</t>
  </si>
  <si>
    <t>2462447</t>
  </si>
  <si>
    <t>2462534</t>
  </si>
  <si>
    <t>2462546</t>
  </si>
  <si>
    <t>2461583</t>
  </si>
  <si>
    <t>2462450</t>
  </si>
  <si>
    <t>2462806</t>
  </si>
  <si>
    <t>2463069</t>
  </si>
  <si>
    <t>2463198</t>
  </si>
  <si>
    <t>2463256</t>
  </si>
  <si>
    <t>2463413</t>
  </si>
  <si>
    <t>2463870</t>
  </si>
  <si>
    <t>2460323</t>
  </si>
  <si>
    <t>2462453</t>
  </si>
  <si>
    <t>2463496</t>
  </si>
  <si>
    <t>2464339</t>
  </si>
  <si>
    <t>2464351</t>
  </si>
  <si>
    <t>2464376</t>
  </si>
  <si>
    <t>2464419</t>
  </si>
  <si>
    <t>2462383</t>
  </si>
  <si>
    <t>2464772</t>
  </si>
  <si>
    <t>2465064</t>
  </si>
  <si>
    <t>2463415</t>
  </si>
  <si>
    <t>2464845</t>
  </si>
  <si>
    <t>2465023</t>
  </si>
  <si>
    <t>246567</t>
  </si>
  <si>
    <t>2465500</t>
  </si>
  <si>
    <t>2465666</t>
  </si>
  <si>
    <t>2466055</t>
  </si>
  <si>
    <t>2466070</t>
  </si>
  <si>
    <t>2466155</t>
  </si>
  <si>
    <t>2466251</t>
  </si>
  <si>
    <t>2465884</t>
  </si>
  <si>
    <t>2466316</t>
  </si>
  <si>
    <t>2466573</t>
  </si>
  <si>
    <t>2466771</t>
  </si>
  <si>
    <t>2466788</t>
  </si>
  <si>
    <t>2466809</t>
  </si>
  <si>
    <t>2454846</t>
  </si>
  <si>
    <t>2456959</t>
  </si>
  <si>
    <t>2464520</t>
  </si>
  <si>
    <t>2464176</t>
  </si>
  <si>
    <t>2467197</t>
  </si>
  <si>
    <t>2467906</t>
  </si>
  <si>
    <t>2468155</t>
  </si>
  <si>
    <t>2462803</t>
  </si>
  <si>
    <t>2467367</t>
  </si>
  <si>
    <t>2468064</t>
  </si>
  <si>
    <t>2468534</t>
  </si>
  <si>
    <t>2468713</t>
  </si>
  <si>
    <t>2468368</t>
  </si>
  <si>
    <t>2468331</t>
  </si>
  <si>
    <t>2468685</t>
  </si>
  <si>
    <t>2468777</t>
  </si>
  <si>
    <t>2468359</t>
  </si>
  <si>
    <t>2469321</t>
  </si>
  <si>
    <t>2469357</t>
  </si>
  <si>
    <t>2465373</t>
  </si>
  <si>
    <t>2467943</t>
  </si>
  <si>
    <t>2468514</t>
  </si>
  <si>
    <t>2469678</t>
  </si>
  <si>
    <t>2470046</t>
  </si>
  <si>
    <t>2443060</t>
  </si>
  <si>
    <t>2467711</t>
  </si>
  <si>
    <t>2470970</t>
  </si>
  <si>
    <t>2471007</t>
  </si>
  <si>
    <t>2468369</t>
  </si>
  <si>
    <t>2470892</t>
  </si>
  <si>
    <t>2470943</t>
  </si>
  <si>
    <t>2471564</t>
  </si>
  <si>
    <t>2471674</t>
  </si>
  <si>
    <t>2471706</t>
  </si>
  <si>
    <t>2471717</t>
  </si>
  <si>
    <t>2468959</t>
  </si>
  <si>
    <t>2471511</t>
  </si>
  <si>
    <t>2471868</t>
  </si>
  <si>
    <t>2472168</t>
  </si>
  <si>
    <t>2472328</t>
  </si>
  <si>
    <t>2472353</t>
  </si>
  <si>
    <t>2472881</t>
  </si>
  <si>
    <t>2469110</t>
  </si>
  <si>
    <t>2469118</t>
  </si>
  <si>
    <t>2469451</t>
  </si>
  <si>
    <t>2472215</t>
  </si>
  <si>
    <t>2472848</t>
  </si>
  <si>
    <t>2473565</t>
  </si>
  <si>
    <t>2459151</t>
  </si>
  <si>
    <t>2461201</t>
  </si>
  <si>
    <t>2469490</t>
  </si>
  <si>
    <t>2472507</t>
  </si>
  <si>
    <t>2473478</t>
  </si>
  <si>
    <t>2474250</t>
  </si>
  <si>
    <t>2473898</t>
  </si>
  <si>
    <t>2474224</t>
  </si>
  <si>
    <t>2454849</t>
  </si>
  <si>
    <t>2474638</t>
  </si>
  <si>
    <t>2453074</t>
  </si>
  <si>
    <t>2468481</t>
  </si>
  <si>
    <t>2474306</t>
  </si>
  <si>
    <t>2474372</t>
  </si>
  <si>
    <t>2474876</t>
  </si>
  <si>
    <t>2475558</t>
  </si>
  <si>
    <t>2475608</t>
  </si>
  <si>
    <t>2464521</t>
  </si>
  <si>
    <t>2475508</t>
  </si>
  <si>
    <t>2475691</t>
  </si>
  <si>
    <t>2476192</t>
  </si>
  <si>
    <t>2476229</t>
  </si>
  <si>
    <t>2477416</t>
  </si>
  <si>
    <t>2475974</t>
  </si>
  <si>
    <t>2477739</t>
  </si>
  <si>
    <t>2477738</t>
  </si>
  <si>
    <t>2477896</t>
  </si>
  <si>
    <t>2478060</t>
  </si>
  <si>
    <t>2478080</t>
  </si>
  <si>
    <t>2478509</t>
  </si>
  <si>
    <t>2477652</t>
  </si>
  <si>
    <t>2478070</t>
  </si>
  <si>
    <t>2476908</t>
  </si>
  <si>
    <t>2478071</t>
  </si>
  <si>
    <t>2479141</t>
  </si>
  <si>
    <t>2479024</t>
  </si>
  <si>
    <t>2475529</t>
  </si>
  <si>
    <t>2475975</t>
  </si>
  <si>
    <t>2479605</t>
  </si>
  <si>
    <t>2480014</t>
  </si>
  <si>
    <t>2480213</t>
  </si>
  <si>
    <t>2480246</t>
  </si>
  <si>
    <t>2480251</t>
  </si>
  <si>
    <t>2476895</t>
  </si>
  <si>
    <t>2480590</t>
  </si>
  <si>
    <t>2480839</t>
  </si>
  <si>
    <t>2480555</t>
  </si>
  <si>
    <t>2480688</t>
  </si>
  <si>
    <t>2480860</t>
  </si>
  <si>
    <t>2480015</t>
  </si>
  <si>
    <t>2480674</t>
  </si>
  <si>
    <t>2460244</t>
  </si>
  <si>
    <t>2480533</t>
  </si>
  <si>
    <t>2480652</t>
  </si>
  <si>
    <t>2481614</t>
  </si>
  <si>
    <t>2481617</t>
  </si>
  <si>
    <t>2482147</t>
  </si>
  <si>
    <t>2482729</t>
  </si>
  <si>
    <t>2483594</t>
  </si>
  <si>
    <t>2483571</t>
  </si>
  <si>
    <t>2483573</t>
  </si>
  <si>
    <t>2483575</t>
  </si>
  <si>
    <t>2482817</t>
  </si>
  <si>
    <t>2485028</t>
  </si>
  <si>
    <t>2485080</t>
  </si>
  <si>
    <t>2485215</t>
  </si>
  <si>
    <t>2485276</t>
  </si>
  <si>
    <t>2485293</t>
  </si>
  <si>
    <t>2482445</t>
  </si>
  <si>
    <t>2485029</t>
  </si>
  <si>
    <t>2485279</t>
  </si>
  <si>
    <t>2485416</t>
  </si>
  <si>
    <t>2485031</t>
  </si>
  <si>
    <t>2485422</t>
  </si>
  <si>
    <t>2486190</t>
  </si>
  <si>
    <t>2483692</t>
  </si>
  <si>
    <t>2485429</t>
  </si>
  <si>
    <t>2486767</t>
  </si>
  <si>
    <t>2486724</t>
  </si>
  <si>
    <t>2486722</t>
  </si>
  <si>
    <t>2486746</t>
  </si>
  <si>
    <t>2487456</t>
  </si>
  <si>
    <t>2488103</t>
  </si>
  <si>
    <t>2488051</t>
  </si>
  <si>
    <t>2482827</t>
  </si>
  <si>
    <t>2486748</t>
  </si>
  <si>
    <t>2488797</t>
  </si>
  <si>
    <t>2488801</t>
  </si>
  <si>
    <t>2478921</t>
  </si>
  <si>
    <t>2485432</t>
  </si>
  <si>
    <t>2486749</t>
  </si>
  <si>
    <t>2489518</t>
  </si>
  <si>
    <t>2475378</t>
  </si>
  <si>
    <t>2484062</t>
  </si>
  <si>
    <t>2486750</t>
  </si>
  <si>
    <t>2486755</t>
  </si>
  <si>
    <t>2486769</t>
  </si>
  <si>
    <t>2490273</t>
  </si>
  <si>
    <t>2488937</t>
  </si>
  <si>
    <t>2490493</t>
  </si>
  <si>
    <t>2490494</t>
  </si>
  <si>
    <t>2491814</t>
  </si>
  <si>
    <t>2493806</t>
  </si>
  <si>
    <t>2487070</t>
  </si>
  <si>
    <t>2489129</t>
  </si>
  <si>
    <t>2490497</t>
  </si>
  <si>
    <t>2490500</t>
  </si>
  <si>
    <t>2487071</t>
  </si>
  <si>
    <t>2487566</t>
  </si>
  <si>
    <t>2488230</t>
  </si>
  <si>
    <t>2496013</t>
  </si>
  <si>
    <t>2496602</t>
  </si>
  <si>
    <t>2496016</t>
  </si>
  <si>
    <t>2496594</t>
  </si>
  <si>
    <t>2496069</t>
  </si>
  <si>
    <t>2496475</t>
  </si>
  <si>
    <t>2496606</t>
  </si>
  <si>
    <t>2496595</t>
  </si>
  <si>
    <t>2495019</t>
  </si>
  <si>
    <t>2496045</t>
  </si>
  <si>
    <t>2497090</t>
  </si>
  <si>
    <t>2497093</t>
  </si>
  <si>
    <t>2497456</t>
  </si>
  <si>
    <t>2498047</t>
  </si>
  <si>
    <t>2497478</t>
  </si>
  <si>
    <t>2497485</t>
  </si>
  <si>
    <t>2493609</t>
  </si>
  <si>
    <t>2498245</t>
  </si>
  <si>
    <t>2499563</t>
  </si>
  <si>
    <t>2498274</t>
  </si>
  <si>
    <t>2500614</t>
  </si>
  <si>
    <t>2498679</t>
  </si>
  <si>
    <t>2498880</t>
  </si>
  <si>
    <t>2499038</t>
  </si>
  <si>
    <t>2497489</t>
  </si>
  <si>
    <t>2497487</t>
  </si>
  <si>
    <t>2496695</t>
  </si>
  <si>
    <t>2498448</t>
  </si>
  <si>
    <t>2500450</t>
  </si>
  <si>
    <t>2492766</t>
  </si>
  <si>
    <t>2500999</t>
  </si>
  <si>
    <t>2497242</t>
  </si>
  <si>
    <t>2499283</t>
  </si>
  <si>
    <t>2497513</t>
  </si>
  <si>
    <t>2500013</t>
  </si>
  <si>
    <t>2500358</t>
  </si>
  <si>
    <t>2502646</t>
  </si>
  <si>
    <t>2497519</t>
  </si>
  <si>
    <t>2486474</t>
  </si>
  <si>
    <t>2494553</t>
  </si>
  <si>
    <t>2497655</t>
  </si>
  <si>
    <t>2443758</t>
  </si>
  <si>
    <t>2497651</t>
  </si>
  <si>
    <t>2503584</t>
  </si>
  <si>
    <t>2504767</t>
  </si>
  <si>
    <t>2497546</t>
  </si>
  <si>
    <t>2493770</t>
  </si>
  <si>
    <t>2497652</t>
  </si>
  <si>
    <t>2505540</t>
  </si>
  <si>
    <t>2506025</t>
  </si>
  <si>
    <t>2505966</t>
  </si>
  <si>
    <t>2440384</t>
  </si>
  <si>
    <t>2489150</t>
  </si>
  <si>
    <t>2502879</t>
  </si>
  <si>
    <t>2506901</t>
  </si>
  <si>
    <t>2507130</t>
  </si>
  <si>
    <t>2507851</t>
  </si>
  <si>
    <t>2507470</t>
  </si>
  <si>
    <t>2507858</t>
  </si>
  <si>
    <t>2508319</t>
  </si>
  <si>
    <t>2495928</t>
  </si>
  <si>
    <t>2495949</t>
  </si>
  <si>
    <t>2496673</t>
  </si>
  <si>
    <t>2497656</t>
  </si>
  <si>
    <t>2510720</t>
  </si>
  <si>
    <t>2509417</t>
  </si>
  <si>
    <t>2511483</t>
  </si>
  <si>
    <t>2513389</t>
  </si>
  <si>
    <t>2507968</t>
  </si>
  <si>
    <t>2510819</t>
  </si>
  <si>
    <t>2512651</t>
  </si>
  <si>
    <t>2485657</t>
  </si>
  <si>
    <t>2486486</t>
  </si>
  <si>
    <t>2514140</t>
  </si>
  <si>
    <t>2493672</t>
  </si>
  <si>
    <t>2507432</t>
  </si>
  <si>
    <t>2512531</t>
  </si>
  <si>
    <t>2515610</t>
  </si>
  <si>
    <t>Min Classe per day</t>
  </si>
  <si>
    <t>Total Classes</t>
  </si>
  <si>
    <t>Total Periods</t>
  </si>
  <si>
    <t>Busiest Day</t>
  </si>
  <si>
    <t>Least Busiest Day</t>
  </si>
  <si>
    <t>Top Absent Teacher</t>
  </si>
  <si>
    <t>Average Periods</t>
  </si>
  <si>
    <t>Average Classes</t>
  </si>
  <si>
    <t>Count of Date</t>
  </si>
  <si>
    <t>Tue</t>
  </si>
  <si>
    <t>Day of week.2</t>
  </si>
  <si>
    <t>Wed</t>
  </si>
  <si>
    <t>Fri</t>
  </si>
  <si>
    <t>Mon</t>
  </si>
  <si>
    <t>Thu</t>
  </si>
  <si>
    <t>Glencliff High School - Class Coverage Analysis</t>
  </si>
  <si>
    <t xml:space="preserve">Remainder </t>
  </si>
  <si>
    <t>Sum of Field1</t>
  </si>
  <si>
    <t>Total classes</t>
  </si>
  <si>
    <t>Peak Classes/Day</t>
  </si>
  <si>
    <t>Peak Periods/Day</t>
  </si>
  <si>
    <t>6-Jan</t>
  </si>
  <si>
    <t>7-Jan</t>
  </si>
  <si>
    <t>8-Jan</t>
  </si>
  <si>
    <t>9-Jan</t>
  </si>
  <si>
    <t>12-Jan</t>
  </si>
  <si>
    <t>13-Jan</t>
  </si>
  <si>
    <t>14-Jan</t>
  </si>
  <si>
    <t>15-Jan</t>
  </si>
  <si>
    <t>16-Jan</t>
  </si>
  <si>
    <t>20-Jan</t>
  </si>
  <si>
    <t>21-Jan</t>
  </si>
  <si>
    <t>22-Jan</t>
  </si>
  <si>
    <t>23-Jan</t>
  </si>
  <si>
    <t>30-Jan</t>
  </si>
  <si>
    <t>3-Feb</t>
  </si>
  <si>
    <t>4-Feb</t>
  </si>
  <si>
    <t>5-Feb</t>
  </si>
  <si>
    <t>6-Feb</t>
  </si>
  <si>
    <t>9-Feb</t>
  </si>
  <si>
    <t>10-Feb</t>
  </si>
  <si>
    <t>11-Feb</t>
  </si>
  <si>
    <t>12-Feb</t>
  </si>
  <si>
    <t>13-Feb</t>
  </si>
  <si>
    <t>16-Feb</t>
  </si>
  <si>
    <t>17-Feb</t>
  </si>
  <si>
    <t>18-Feb</t>
  </si>
  <si>
    <t>19-Feb</t>
  </si>
  <si>
    <t>20-Feb</t>
  </si>
  <si>
    <t>23-Feb</t>
  </si>
  <si>
    <t>24-Feb</t>
  </si>
  <si>
    <t>25-Feb</t>
  </si>
  <si>
    <t>26-Feb</t>
  </si>
  <si>
    <t>27-Feb</t>
  </si>
  <si>
    <t>5-Aug</t>
  </si>
  <si>
    <t>6-Aug</t>
  </si>
  <si>
    <t>7-Aug</t>
  </si>
  <si>
    <t>8-Aug</t>
  </si>
  <si>
    <t>11-Aug</t>
  </si>
  <si>
    <t>12-Aug</t>
  </si>
  <si>
    <t>13-Aug</t>
  </si>
  <si>
    <t>14-Aug</t>
  </si>
  <si>
    <t>15-Aug</t>
  </si>
  <si>
    <t>18-Aug</t>
  </si>
  <si>
    <t>19-Aug</t>
  </si>
  <si>
    <t>20-Aug</t>
  </si>
  <si>
    <t>21-Aug</t>
  </si>
  <si>
    <t>22-Aug</t>
  </si>
  <si>
    <t>25-Aug</t>
  </si>
  <si>
    <t>26-Aug</t>
  </si>
  <si>
    <t>27-Aug</t>
  </si>
  <si>
    <t>28-Aug</t>
  </si>
  <si>
    <t>29-Aug</t>
  </si>
  <si>
    <t>2-Sep</t>
  </si>
  <si>
    <t>3-Sep</t>
  </si>
  <si>
    <t>4-Sep</t>
  </si>
  <si>
    <t>5-Sep</t>
  </si>
  <si>
    <t>8-Sep</t>
  </si>
  <si>
    <t>9-Sep</t>
  </si>
  <si>
    <t>10-Sep</t>
  </si>
  <si>
    <t>11-Sep</t>
  </si>
  <si>
    <t>12-Sep</t>
  </si>
  <si>
    <t>15-Sep</t>
  </si>
  <si>
    <t>16-Sep</t>
  </si>
  <si>
    <t>17-Sep</t>
  </si>
  <si>
    <t>18-Sep</t>
  </si>
  <si>
    <t>19-Sep</t>
  </si>
  <si>
    <t>22-Sep</t>
  </si>
  <si>
    <t>23-Sep</t>
  </si>
  <si>
    <t>24-Sep</t>
  </si>
  <si>
    <t>25-Sep</t>
  </si>
  <si>
    <t>26-Sep</t>
  </si>
  <si>
    <t>29-Sep</t>
  </si>
  <si>
    <t>30-Sep</t>
  </si>
  <si>
    <t>1-Oct</t>
  </si>
  <si>
    <t>2-Oct</t>
  </si>
  <si>
    <t>3-Oct</t>
  </si>
  <si>
    <t>6-Oct</t>
  </si>
  <si>
    <t>8-Oct</t>
  </si>
  <si>
    <t>9-Oct</t>
  </si>
  <si>
    <t>20-Oct</t>
  </si>
  <si>
    <t>21-Oct</t>
  </si>
  <si>
    <t>22-Oct</t>
  </si>
  <si>
    <t>23-Oct</t>
  </si>
  <si>
    <t>24-Oct</t>
  </si>
  <si>
    <t>27-Oct</t>
  </si>
  <si>
    <t>28-Oct</t>
  </si>
  <si>
    <t>29-Oct</t>
  </si>
  <si>
    <t>30-Oct</t>
  </si>
  <si>
    <t>3-Nov</t>
  </si>
  <si>
    <t>4-Nov</t>
  </si>
  <si>
    <t>5-Nov</t>
  </si>
  <si>
    <t>6-Nov</t>
  </si>
  <si>
    <t>7-Nov</t>
  </si>
  <si>
    <t>10-Nov</t>
  </si>
  <si>
    <t>12-Nov</t>
  </si>
  <si>
    <t>13-Nov</t>
  </si>
  <si>
    <t>14-Nov</t>
  </si>
  <si>
    <t>17-Nov</t>
  </si>
  <si>
    <t>18-Nov</t>
  </si>
  <si>
    <t>19-Nov</t>
  </si>
  <si>
    <t>20-Nov</t>
  </si>
  <si>
    <t>21-Nov</t>
  </si>
  <si>
    <t>1-Dec</t>
  </si>
  <si>
    <t>3-Dec</t>
  </si>
  <si>
    <t>4-Dec</t>
  </si>
  <si>
    <t>5-Dec</t>
  </si>
  <si>
    <t>8-Dec</t>
  </si>
  <si>
    <t>9-Dec</t>
  </si>
  <si>
    <t>10-Dec</t>
  </si>
  <si>
    <t>11-Dec</t>
  </si>
  <si>
    <t>12-Dec</t>
  </si>
  <si>
    <t>15-Dec</t>
  </si>
  <si>
    <t>16-Dec</t>
  </si>
  <si>
    <t>18-Dec</t>
  </si>
  <si>
    <t>19-Dec</t>
  </si>
  <si>
    <t>Sum of Periods Covered</t>
  </si>
  <si>
    <t>Count of Periods Covered</t>
  </si>
  <si>
    <t>Column1</t>
  </si>
  <si>
    <t>Column2</t>
  </si>
  <si>
    <t>(Multiple Items)</t>
  </si>
  <si>
    <t>Top Substitute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</si>
</sst>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800]dddd\,\ mmmm\ dd\,\ yyyy"/>
    <numFmt numFmtId="165" formatCode="[$-409]mmm\-yy;@"/>
  </numFmts>
  <fonts count="10" x14ac:knownFonts="1">
    <font>
      <sz val="11"/>
      <color theme="1"/>
      <name val="Aptos Narrow"/>
      <family val="2"/>
      <scheme val="minor"/>
    </font>
    <font>
      <sz val="12"/>
      <color theme="1"/>
      <name val="Aptos Narrow"/>
      <family val="2"/>
      <scheme val="minor"/>
    </font>
    <font>
      <sz val="8"/>
      <name val="Aptos Narrow"/>
      <family val="2"/>
      <scheme val="minor"/>
    </font>
    <font>
      <sz val="11"/>
      <color theme="6" tint="0.79998168889431442"/>
      <name val="Aptos Narrow"/>
      <family val="2"/>
      <scheme val="minor"/>
    </font>
    <font>
      <sz val="16"/>
      <color theme="1"/>
      <name val="Aptos Narrow"/>
      <family val="2"/>
      <scheme val="minor"/>
    </font>
    <font>
      <sz val="20"/>
      <color theme="9" tint="-0.249977111117893"/>
      <name val="Aptos Narrow"/>
      <family val="2"/>
      <scheme val="minor"/>
    </font>
    <font>
      <sz val="20"/>
      <color theme="6" tint="-0.249977111117893"/>
      <name val="Calibri"/>
      <family val="2"/>
    </font>
    <font>
      <sz val="20"/>
      <color theme="6" tint="-0.249977111117893"/>
      <name val="Aptos Narrow"/>
      <family val="2"/>
      <scheme val="minor"/>
    </font>
    <font>
      <sz val="12"/>
      <color theme="9" tint="-0.249977111117893"/>
      <name val="Aptos Narrow"/>
      <family val="2"/>
      <scheme val="minor"/>
    </font>
    <font>
      <b/>
      <sz val="20"/>
      <color theme="9" tint="-0.249977111117893"/>
      <name val="Aptos Narrow"/>
      <family val="2"/>
      <scheme val="minor"/>
    </font>
  </fonts>
  <fills count="3">
    <fill>
      <patternFill patternType="none"/>
    </fill>
    <fill>
      <patternFill patternType="gray125"/>
    </fill>
    <fill>
      <patternFill patternType="solid">
        <fgColor rgb="FFEAF3DE"/>
        <bgColor indexed="64"/>
      </patternFill>
    </fill>
  </fills>
  <borders count="1">
    <border>
      <left/>
      <right/>
      <top/>
      <bottom/>
      <diagonal/>
    </border>
  </borders>
  <cellStyleXfs count="1">
    <xf numFmtId="0" fontId="0" fillId="0" borderId="0"/>
  </cellStyleXfs>
  <cellXfs count="18">
    <xf numFmtId="0" fontId="0" fillId="0" borderId="0" xfId="0"/>
    <xf numFmtId="0" fontId="0" fillId="0" borderId="0" xfId="0" pivotButton="1"/>
    <xf numFmtId="0" fontId="0" fillId="0" borderId="0" xfId="0" applyAlignment="1">
      <alignment horizontal="left"/>
    </xf>
    <xf numFmtId="14" fontId="0" fillId="0" borderId="0" xfId="0" applyNumberFormat="1"/>
    <xf numFmtId="0" fontId="0" fillId="0" borderId="0" xfId="0" applyAlignment="1">
      <alignment wrapText="1"/>
    </xf>
    <xf numFmtId="1" fontId="0" fillId="0" borderId="0" xfId="0" applyNumberFormat="1"/>
    <xf numFmtId="164" fontId="0" fillId="0" borderId="0" xfId="0" applyNumberFormat="1" applyAlignment="1">
      <alignment wrapText="1"/>
    </xf>
    <xf numFmtId="164" fontId="0" fillId="0" borderId="0" xfId="0" applyNumberFormat="1"/>
    <xf numFmtId="0" fontId="3" fillId="0" borderId="0" xfId="0" applyFont="1"/>
    <xf numFmtId="0" fontId="3" fillId="2" borderId="0" xfId="0" applyFont="1" applyFill="1"/>
    <xf numFmtId="0" fontId="1" fillId="0" borderId="0" xfId="0" applyFont="1" applyAlignment="1">
      <alignment wrapText="1"/>
    </xf>
    <xf numFmtId="0" fontId="5" fillId="0" borderId="0" xfId="0" applyFont="1"/>
    <xf numFmtId="0" fontId="7" fillId="2" borderId="0" xfId="0" applyFont="1" applyFill="1" applyAlignment="1">
      <alignment vertical="center"/>
    </xf>
    <xf numFmtId="0" fontId="8" fillId="0" borderId="0" xfId="0" applyFont="1"/>
    <xf numFmtId="0" fontId="9" fillId="0" borderId="0" xfId="0" applyFont="1"/>
    <xf numFmtId="165" fontId="0" fillId="0" borderId="0" xfId="0" applyNumberFormat="1"/>
    <xf numFmtId="0" fontId="4" fillId="0" borderId="0" xfId="0" applyFont="1"/>
    <xf numFmtId="0" fontId="6" fillId="2" borderId="0" xfId="0" applyFont="1" applyFill="1" applyAlignment="1">
      <alignment horizontal="center" vertical="center"/>
    </xf>
  </cellXfs>
  <cellStyles count="1">
    <cellStyle name="Normal" xfId="0" builtinId="0"/>
  </cellStyles>
  <dxfs count="1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font>
        <sz val="16"/>
      </font>
    </dxf>
  </dxfs>
  <tableStyles count="0" defaultTableStyle="TableStyleMedium2" defaultPivotStyle="PivotStyleLight16"/>
  <colors>
    <mruColors>
      <color rgb="FFEAF3DE"/>
      <color rgb="FFC0DD97"/>
      <color rgb="FFE0E0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[GHS Class Coverage Analysis.xlsx]Outside Sub Coverage!Outside_Sub_Coverage</c:name>
    <c:fmtId val="3"/>
  </c:pivotSource>
  <c:chart>
    <c:title>
      <c:tx>
        <c:rich>
          <a:bodyPr rot="0" spcFirstLastPara="1" vertOverflow="ellipsis" vert="horz" wrap="square" anchor="ctr" anchorCtr="1"/>
          <a:lstStyle/>
          <a:p>
            <a:pPr>
              <a:defRPr lang="en-US" sz="1200" b="0" i="0" u="none" strike="noStrike" kern="1200" spc="0" baseline="0">
                <a:solidFill>
                  <a:schemeClr val="accent6">
                    <a:lumMod val="50000"/>
                  </a:schemeClr>
                </a:solidFill>
                <a:latin typeface="+mn-lt"/>
                <a:ea typeface="+mn-ea"/>
                <a:cs typeface="+mn-cs"/>
              </a:defRPr>
            </a:pPr>
            <a:r>
              <a:rPr lang="en-US" sz="1400">
                <a:solidFill>
                  <a:schemeClr val="accent6">
                    <a:lumMod val="50000"/>
                  </a:schemeClr>
                </a:solidFill>
              </a:rPr>
              <a:t>Periods</a:t>
            </a:r>
            <a:r>
              <a:rPr lang="en-US" sz="1400" baseline="0">
                <a:solidFill>
                  <a:schemeClr val="accent6">
                    <a:lumMod val="50000"/>
                  </a:schemeClr>
                </a:solidFill>
              </a:rPr>
              <a:t> Covered By Outside Subs</a:t>
            </a:r>
            <a:endParaRPr lang="en-US" sz="1400">
              <a:solidFill>
                <a:schemeClr val="accent6">
                  <a:lumMod val="50000"/>
                </a:schemeClr>
              </a:solidFill>
            </a:endParaRPr>
          </a:p>
        </c:rich>
      </c:tx>
      <c:layout>
        <c:manualLayout>
          <c:xMode val="edge"/>
          <c:yMode val="edge"/>
          <c:x val="1.880843996062994E-2"/>
          <c:y val="1.3888888888888888E-2"/>
        </c:manualLayout>
      </c:layout>
      <c:overlay val="0"/>
      <c:spPr>
        <a:noFill/>
        <a:ln>
          <a:noFill/>
        </a:ln>
        <a:effectLst/>
      </c:spPr>
      <c:txPr>
        <a:bodyPr rot="0" spcFirstLastPara="1" vertOverflow="ellipsis" vert="horz" wrap="square" anchor="ctr" anchorCtr="1"/>
        <a:lstStyle/>
        <a:p>
          <a:pPr>
            <a:defRPr lang="en-US" sz="1200" b="0"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overflow" horzOverflow="overflow" vert="horz" wrap="square" anchor="t" anchorCtr="0">
              <a:spAutoFit/>
            </a:bodyPr>
            <a:lstStyle/>
            <a:p>
              <a:pPr>
                <a:defRPr lang="en-US" sz="1000" b="0" i="0" u="none" strike="noStrike" kern="1200" baseline="0">
                  <a:solidFill>
                    <a:schemeClr val="accent6">
                      <a:lumMod val="5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EAF3DE"/>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dLbl>
          <c:idx val="0"/>
          <c:layout>
            <c:manualLayout>
              <c:x val="0.36095328904199475"/>
              <c:y val="-7.9570840050124953E-18"/>
            </c:manualLayout>
          </c:layout>
          <c:spPr>
            <a:noFill/>
            <a:ln>
              <a:noFill/>
            </a:ln>
            <a:effectLst/>
          </c:spPr>
          <c:txPr>
            <a:bodyPr rot="0" spcFirstLastPara="1" vertOverflow="overflow" horzOverflow="overflow" vert="horz" wrap="square" anchor="t" anchorCtr="0">
              <a:spAutoFit/>
            </a:bodyPr>
            <a:lstStyle/>
            <a:p>
              <a:pPr>
                <a:defRPr lang="en-US" sz="1000" b="0" i="0" u="none" strike="noStrike" kern="1200" baseline="0">
                  <a:solidFill>
                    <a:schemeClr val="accent6">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dLbl>
          <c:idx val="0"/>
          <c:layout>
            <c:manualLayout>
              <c:x val="0.39465100065616798"/>
              <c:y val="3.4722222222221904E-3"/>
            </c:manualLayout>
          </c:layout>
          <c:spPr>
            <a:noFill/>
            <a:ln>
              <a:noFill/>
            </a:ln>
            <a:effectLst/>
          </c:spPr>
          <c:txPr>
            <a:bodyPr rot="0" spcFirstLastPara="1" vertOverflow="overflow" horzOverflow="overflow" vert="horz" wrap="square" anchor="t" anchorCtr="0">
              <a:spAutoFit/>
            </a:bodyPr>
            <a:lstStyle/>
            <a:p>
              <a:pPr>
                <a:defRPr lang="en-US" sz="1000" b="0" i="0" u="none" strike="noStrike" kern="1200" baseline="0">
                  <a:solidFill>
                    <a:schemeClr val="accent6">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dLbl>
          <c:idx val="0"/>
          <c:layout>
            <c:manualLayout>
              <c:x val="0.47765830052493441"/>
              <c:y val="3.472222222222222E-3"/>
            </c:manualLayout>
          </c:layout>
          <c:spPr>
            <a:noFill/>
            <a:ln>
              <a:noFill/>
            </a:ln>
            <a:effectLst/>
          </c:spPr>
          <c:txPr>
            <a:bodyPr rot="0" spcFirstLastPara="1" vertOverflow="overflow" horzOverflow="overflow" vert="horz" wrap="square" anchor="t" anchorCtr="0">
              <a:spAutoFit/>
            </a:bodyPr>
            <a:lstStyle/>
            <a:p>
              <a:pPr>
                <a:defRPr lang="en-US" sz="1000" b="0" i="0" u="none" strike="noStrike" kern="1200" baseline="0">
                  <a:solidFill>
                    <a:schemeClr val="accent6">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dLbl>
          <c:idx val="0"/>
          <c:layout>
            <c:manualLayout>
              <c:x val="0.48822527066929133"/>
              <c:y val="3.472222222222222E-3"/>
            </c:manualLayout>
          </c:layout>
          <c:spPr>
            <a:noFill/>
            <a:ln>
              <a:noFill/>
            </a:ln>
            <a:effectLst/>
          </c:spPr>
          <c:txPr>
            <a:bodyPr rot="0" spcFirstLastPara="1" vertOverflow="overflow" horzOverflow="overflow" vert="horz" wrap="square" anchor="t" anchorCtr="0">
              <a:spAutoFit/>
            </a:bodyPr>
            <a:lstStyle/>
            <a:p>
              <a:pPr>
                <a:defRPr lang="en-US" sz="1000" b="0" i="0" u="none" strike="noStrike" kern="1200" baseline="0">
                  <a:solidFill>
                    <a:schemeClr val="accent6">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dLbl>
          <c:idx val="0"/>
          <c:layout>
            <c:manualLayout>
              <c:x val="0.51456713418635147"/>
              <c:y val="3.472222222222222E-3"/>
            </c:manualLayout>
          </c:layout>
          <c:spPr>
            <a:noFill/>
            <a:ln>
              <a:noFill/>
            </a:ln>
            <a:effectLst/>
          </c:spPr>
          <c:txPr>
            <a:bodyPr rot="0" spcFirstLastPara="1" vertOverflow="overflow" horzOverflow="overflow" vert="horz" wrap="square" anchor="t" anchorCtr="0">
              <a:spAutoFit/>
            </a:bodyPr>
            <a:lstStyle/>
            <a:p>
              <a:pPr>
                <a:defRPr lang="en-US" sz="1000" b="0" i="0" u="none" strike="noStrike" kern="1200" baseline="0">
                  <a:solidFill>
                    <a:schemeClr val="accent6">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a:noFill/>
          </a:ln>
          <a:effectLst/>
        </c:spPr>
        <c:dLbl>
          <c:idx val="0"/>
          <c:layout>
            <c:manualLayout>
              <c:x val="0.5474946686351706"/>
              <c:y val="3.4722222222221587E-3"/>
            </c:manualLayout>
          </c:layout>
          <c:spPr>
            <a:noFill/>
            <a:ln>
              <a:noFill/>
            </a:ln>
            <a:effectLst/>
          </c:spPr>
          <c:txPr>
            <a:bodyPr rot="0" spcFirstLastPara="1" vertOverflow="overflow" horzOverflow="overflow" vert="horz" wrap="square" anchor="t" anchorCtr="0">
              <a:spAutoFit/>
            </a:bodyPr>
            <a:lstStyle/>
            <a:p>
              <a:pPr>
                <a:defRPr lang="en-US" sz="1000" b="0" i="0" u="none" strike="noStrike" kern="1200" baseline="0">
                  <a:solidFill>
                    <a:schemeClr val="accent6">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a:noFill/>
          </a:ln>
          <a:effectLst/>
        </c:spPr>
        <c:dLbl>
          <c:idx val="0"/>
          <c:layout>
            <c:manualLayout>
              <c:x val="0.61074557086614178"/>
              <c:y val="3.472222222222222E-3"/>
            </c:manualLayout>
          </c:layout>
          <c:spPr>
            <a:noFill/>
            <a:ln>
              <a:noFill/>
            </a:ln>
            <a:effectLst/>
          </c:spPr>
          <c:txPr>
            <a:bodyPr rot="0" spcFirstLastPara="1" vertOverflow="overflow" horzOverflow="overflow" vert="horz" wrap="square" anchor="t" anchorCtr="0">
              <a:spAutoFit/>
            </a:bodyPr>
            <a:lstStyle/>
            <a:p>
              <a:pPr>
                <a:defRPr lang="en-US" sz="1000" b="0" i="0" u="none" strike="noStrike" kern="1200" baseline="0">
                  <a:solidFill>
                    <a:schemeClr val="accent6">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75000"/>
            </a:schemeClr>
          </a:solidFill>
          <a:ln>
            <a:noFill/>
          </a:ln>
          <a:effectLst/>
        </c:spPr>
        <c:dLbl>
          <c:idx val="0"/>
          <c:layout>
            <c:manualLayout>
              <c:x val="0.61993540846456696"/>
              <c:y val="-1.2731334408019992E-16"/>
            </c:manualLayout>
          </c:layout>
          <c:spPr>
            <a:noFill/>
            <a:ln>
              <a:noFill/>
            </a:ln>
            <a:effectLst/>
          </c:spPr>
          <c:txPr>
            <a:bodyPr rot="0" spcFirstLastPara="1" vertOverflow="overflow" horzOverflow="overflow" vert="horz" wrap="square" anchor="t" anchorCtr="0">
              <a:spAutoFit/>
            </a:bodyPr>
            <a:lstStyle/>
            <a:p>
              <a:pPr>
                <a:defRPr lang="en-US" sz="1000" b="0" i="0" u="none" strike="noStrike" kern="1200" baseline="0">
                  <a:solidFill>
                    <a:schemeClr val="accent6">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lumMod val="75000"/>
            </a:schemeClr>
          </a:solidFill>
          <a:ln>
            <a:noFill/>
          </a:ln>
          <a:effectLst/>
        </c:spPr>
        <c:dLbl>
          <c:idx val="0"/>
          <c:layout>
            <c:manualLayout>
              <c:x val="0.61993540846456696"/>
              <c:y val="-3.4722222222223495E-3"/>
            </c:manualLayout>
          </c:layout>
          <c:spPr>
            <a:noFill/>
            <a:ln>
              <a:noFill/>
            </a:ln>
            <a:effectLst/>
          </c:spPr>
          <c:txPr>
            <a:bodyPr rot="0" spcFirstLastPara="1" vertOverflow="overflow" horzOverflow="overflow" vert="horz" wrap="square" anchor="t" anchorCtr="0">
              <a:spAutoFit/>
            </a:bodyPr>
            <a:lstStyle/>
            <a:p>
              <a:pPr>
                <a:defRPr lang="en-US" sz="1000" b="0" i="0" u="none" strike="noStrike" kern="1200" baseline="0">
                  <a:solidFill>
                    <a:schemeClr val="accent6">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75000"/>
            </a:schemeClr>
          </a:solidFill>
          <a:ln>
            <a:noFill/>
          </a:ln>
          <a:effectLst/>
        </c:spPr>
        <c:marker>
          <c:symbol val="none"/>
        </c:marker>
        <c:dLbl>
          <c:idx val="0"/>
          <c:spPr>
            <a:noFill/>
            <a:ln>
              <a:noFill/>
            </a:ln>
            <a:effectLst/>
          </c:spPr>
          <c:txPr>
            <a:bodyPr rot="0" spcFirstLastPara="1" vertOverflow="overflow" horzOverflow="overflow" vert="horz" wrap="square" anchor="t" anchorCtr="0">
              <a:spAutoFit/>
            </a:bodyPr>
            <a:lstStyle/>
            <a:p>
              <a:pPr>
                <a:defRPr lang="en-US" sz="1000" b="0" i="0" u="none" strike="noStrike" kern="1200" baseline="0">
                  <a:solidFill>
                    <a:schemeClr val="accent6">
                      <a:lumMod val="5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dLbl>
          <c:idx val="0"/>
          <c:layout>
            <c:manualLayout>
              <c:x val="0.61993540846456696"/>
              <c:y val="-3.4722222222223495E-3"/>
            </c:manualLayout>
          </c:layout>
          <c:spPr>
            <a:noFill/>
            <a:ln>
              <a:noFill/>
            </a:ln>
            <a:effectLst/>
          </c:spPr>
          <c:txPr>
            <a:bodyPr rot="0" spcFirstLastPara="1" vertOverflow="overflow" horzOverflow="overflow" vert="horz" wrap="square" anchor="t" anchorCtr="0">
              <a:spAutoFit/>
            </a:bodyPr>
            <a:lstStyle/>
            <a:p>
              <a:pPr>
                <a:defRPr lang="en-US" sz="1000" b="0" i="0" u="none" strike="noStrike" kern="1200" baseline="0">
                  <a:solidFill>
                    <a:schemeClr val="accent6">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dLbl>
          <c:idx val="0"/>
          <c:layout>
            <c:manualLayout>
              <c:x val="0.61993540846456696"/>
              <c:y val="-1.2731334408019992E-16"/>
            </c:manualLayout>
          </c:layout>
          <c:spPr>
            <a:noFill/>
            <a:ln>
              <a:noFill/>
            </a:ln>
            <a:effectLst/>
          </c:spPr>
          <c:txPr>
            <a:bodyPr rot="0" spcFirstLastPara="1" vertOverflow="overflow" horzOverflow="overflow" vert="horz" wrap="square" anchor="t" anchorCtr="0">
              <a:spAutoFit/>
            </a:bodyPr>
            <a:lstStyle/>
            <a:p>
              <a:pPr>
                <a:defRPr lang="en-US" sz="1000" b="0" i="0" u="none" strike="noStrike" kern="1200" baseline="0">
                  <a:solidFill>
                    <a:schemeClr val="accent6">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dLbl>
          <c:idx val="0"/>
          <c:layout>
            <c:manualLayout>
              <c:x val="0.61074557086614178"/>
              <c:y val="3.472222222222222E-3"/>
            </c:manualLayout>
          </c:layout>
          <c:spPr>
            <a:noFill/>
            <a:ln>
              <a:noFill/>
            </a:ln>
            <a:effectLst/>
          </c:spPr>
          <c:txPr>
            <a:bodyPr rot="0" spcFirstLastPara="1" vertOverflow="overflow" horzOverflow="overflow" vert="horz" wrap="square" anchor="t" anchorCtr="0">
              <a:spAutoFit/>
            </a:bodyPr>
            <a:lstStyle/>
            <a:p>
              <a:pPr>
                <a:defRPr lang="en-US" sz="1000" b="0" i="0" u="none" strike="noStrike" kern="1200" baseline="0">
                  <a:solidFill>
                    <a:schemeClr val="accent6">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dLbl>
          <c:idx val="0"/>
          <c:layout>
            <c:manualLayout>
              <c:x val="0.5474946686351706"/>
              <c:y val="3.4722222222221587E-3"/>
            </c:manualLayout>
          </c:layout>
          <c:spPr>
            <a:noFill/>
            <a:ln>
              <a:noFill/>
            </a:ln>
            <a:effectLst/>
          </c:spPr>
          <c:txPr>
            <a:bodyPr rot="0" spcFirstLastPara="1" vertOverflow="overflow" horzOverflow="overflow" vert="horz" wrap="square" anchor="t" anchorCtr="0">
              <a:spAutoFit/>
            </a:bodyPr>
            <a:lstStyle/>
            <a:p>
              <a:pPr>
                <a:defRPr lang="en-US" sz="1000" b="0" i="0" u="none" strike="noStrike" kern="1200" baseline="0">
                  <a:solidFill>
                    <a:schemeClr val="accent6">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dLbl>
          <c:idx val="0"/>
          <c:layout>
            <c:manualLayout>
              <c:x val="0.51456713418635147"/>
              <c:y val="3.472222222222222E-3"/>
            </c:manualLayout>
          </c:layout>
          <c:spPr>
            <a:noFill/>
            <a:ln>
              <a:noFill/>
            </a:ln>
            <a:effectLst/>
          </c:spPr>
          <c:txPr>
            <a:bodyPr rot="0" spcFirstLastPara="1" vertOverflow="overflow" horzOverflow="overflow" vert="horz" wrap="square" anchor="t" anchorCtr="0">
              <a:spAutoFit/>
            </a:bodyPr>
            <a:lstStyle/>
            <a:p>
              <a:pPr>
                <a:defRPr lang="en-US" sz="1000" b="0" i="0" u="none" strike="noStrike" kern="1200" baseline="0">
                  <a:solidFill>
                    <a:schemeClr val="accent6">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lumMod val="75000"/>
            </a:schemeClr>
          </a:solidFill>
          <a:ln>
            <a:noFill/>
          </a:ln>
          <a:effectLst/>
        </c:spPr>
        <c:dLbl>
          <c:idx val="0"/>
          <c:layout>
            <c:manualLayout>
              <c:x val="0.48822527066929133"/>
              <c:y val="3.472222222222222E-3"/>
            </c:manualLayout>
          </c:layout>
          <c:spPr>
            <a:noFill/>
            <a:ln>
              <a:noFill/>
            </a:ln>
            <a:effectLst/>
          </c:spPr>
          <c:txPr>
            <a:bodyPr rot="0" spcFirstLastPara="1" vertOverflow="overflow" horzOverflow="overflow" vert="horz" wrap="square" anchor="t" anchorCtr="0">
              <a:spAutoFit/>
            </a:bodyPr>
            <a:lstStyle/>
            <a:p>
              <a:pPr>
                <a:defRPr lang="en-US" sz="1000" b="0" i="0" u="none" strike="noStrike" kern="1200" baseline="0">
                  <a:solidFill>
                    <a:schemeClr val="accent6">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6">
              <a:lumMod val="75000"/>
            </a:schemeClr>
          </a:solidFill>
          <a:ln>
            <a:noFill/>
          </a:ln>
          <a:effectLst/>
        </c:spPr>
        <c:dLbl>
          <c:idx val="0"/>
          <c:layout>
            <c:manualLayout>
              <c:x val="0.47765830052493441"/>
              <c:y val="3.472222222222222E-3"/>
            </c:manualLayout>
          </c:layout>
          <c:spPr>
            <a:noFill/>
            <a:ln>
              <a:noFill/>
            </a:ln>
            <a:effectLst/>
          </c:spPr>
          <c:txPr>
            <a:bodyPr rot="0" spcFirstLastPara="1" vertOverflow="overflow" horzOverflow="overflow" vert="horz" wrap="square" anchor="t" anchorCtr="0">
              <a:spAutoFit/>
            </a:bodyPr>
            <a:lstStyle/>
            <a:p>
              <a:pPr>
                <a:defRPr lang="en-US" sz="1000" b="0" i="0" u="none" strike="noStrike" kern="1200" baseline="0">
                  <a:solidFill>
                    <a:schemeClr val="accent6">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6">
              <a:lumMod val="75000"/>
            </a:schemeClr>
          </a:solidFill>
          <a:ln>
            <a:noFill/>
          </a:ln>
          <a:effectLst/>
        </c:spPr>
        <c:dLbl>
          <c:idx val="0"/>
          <c:layout>
            <c:manualLayout>
              <c:x val="0.39465100065616798"/>
              <c:y val="3.4722222222221904E-3"/>
            </c:manualLayout>
          </c:layout>
          <c:spPr>
            <a:noFill/>
            <a:ln>
              <a:noFill/>
            </a:ln>
            <a:effectLst/>
          </c:spPr>
          <c:txPr>
            <a:bodyPr rot="0" spcFirstLastPara="1" vertOverflow="overflow" horzOverflow="overflow" vert="horz" wrap="square" anchor="t" anchorCtr="0">
              <a:spAutoFit/>
            </a:bodyPr>
            <a:lstStyle/>
            <a:p>
              <a:pPr>
                <a:defRPr lang="en-US" sz="1000" b="0" i="0" u="none" strike="noStrike" kern="1200" baseline="0">
                  <a:solidFill>
                    <a:schemeClr val="accent6">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6">
              <a:lumMod val="75000"/>
            </a:schemeClr>
          </a:solidFill>
          <a:ln>
            <a:noFill/>
          </a:ln>
          <a:effectLst/>
        </c:spPr>
        <c:dLbl>
          <c:idx val="0"/>
          <c:layout>
            <c:manualLayout>
              <c:x val="0.36095328904199475"/>
              <c:y val="-7.9570840050124953E-18"/>
            </c:manualLayout>
          </c:layout>
          <c:spPr>
            <a:noFill/>
            <a:ln>
              <a:noFill/>
            </a:ln>
            <a:effectLst/>
          </c:spPr>
          <c:txPr>
            <a:bodyPr rot="0" spcFirstLastPara="1" vertOverflow="overflow" horzOverflow="overflow" vert="horz" wrap="square" anchor="t" anchorCtr="0">
              <a:spAutoFit/>
            </a:bodyPr>
            <a:lstStyle/>
            <a:p>
              <a:pPr>
                <a:defRPr lang="en-US" sz="1000" b="0" i="0" u="none" strike="noStrike" kern="1200" baseline="0">
                  <a:solidFill>
                    <a:schemeClr val="accent6">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EAF3D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overflow" horzOverflow="overflow" vert="horz" wrap="square" anchor="t" anchorCtr="0">
              <a:spAutoFit/>
            </a:bodyPr>
            <a:lstStyle/>
            <a:p>
              <a:pPr>
                <a:defRPr lang="en-US" sz="1000" b="0" i="0" u="none" strike="noStrike" kern="1200" baseline="0">
                  <a:solidFill>
                    <a:schemeClr val="accent6">
                      <a:lumMod val="5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6">
              <a:lumMod val="75000"/>
            </a:schemeClr>
          </a:solidFill>
          <a:ln>
            <a:noFill/>
          </a:ln>
          <a:effectLst/>
        </c:spPr>
        <c:dLbl>
          <c:idx val="0"/>
          <c:layout>
            <c:manualLayout>
              <c:x val="0.66241907261592303"/>
              <c:y val="-3.4722921974790831E-3"/>
            </c:manualLayout>
          </c:layout>
          <c:spPr>
            <a:noFill/>
            <a:ln>
              <a:noFill/>
            </a:ln>
            <a:effectLst/>
          </c:spPr>
          <c:txPr>
            <a:bodyPr rot="0" spcFirstLastPara="1" vertOverflow="overflow" horzOverflow="overflow" vert="horz" wrap="square" anchor="t" anchorCtr="0">
              <a:spAutoFit/>
            </a:bodyPr>
            <a:lstStyle/>
            <a:p>
              <a:pPr>
                <a:defRPr lang="en-US" sz="1000" b="0" i="0" u="none" strike="noStrike" kern="1200" baseline="0">
                  <a:solidFill>
                    <a:schemeClr val="accent6">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6">
              <a:lumMod val="75000"/>
            </a:schemeClr>
          </a:solidFill>
          <a:ln>
            <a:noFill/>
          </a:ln>
          <a:effectLst/>
        </c:spPr>
        <c:dLbl>
          <c:idx val="0"/>
          <c:layout>
            <c:manualLayout>
              <c:x val="0.66241907261592303"/>
              <c:y val="3.0469226081657527E-3"/>
            </c:manualLayout>
          </c:layout>
          <c:spPr>
            <a:noFill/>
            <a:ln>
              <a:noFill/>
            </a:ln>
            <a:effectLst/>
          </c:spPr>
          <c:txPr>
            <a:bodyPr rot="0" spcFirstLastPara="1" vertOverflow="overflow" horzOverflow="overflow" vert="horz" wrap="square" anchor="t" anchorCtr="0">
              <a:spAutoFit/>
            </a:bodyPr>
            <a:lstStyle/>
            <a:p>
              <a:pPr>
                <a:defRPr lang="en-US" sz="1000" b="0" i="0" u="none" strike="noStrike" kern="1200" baseline="0">
                  <a:solidFill>
                    <a:schemeClr val="accent6">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6">
              <a:lumMod val="75000"/>
            </a:schemeClr>
          </a:solidFill>
          <a:ln>
            <a:noFill/>
          </a:ln>
          <a:effectLst/>
        </c:spPr>
        <c:dLbl>
          <c:idx val="0"/>
          <c:layout>
            <c:manualLayout>
              <c:x val="0.65322911841902098"/>
              <c:y val="3.4722921974789716E-3"/>
            </c:manualLayout>
          </c:layout>
          <c:spPr>
            <a:noFill/>
            <a:ln>
              <a:noFill/>
            </a:ln>
            <a:effectLst/>
          </c:spPr>
          <c:txPr>
            <a:bodyPr rot="0" spcFirstLastPara="1" vertOverflow="overflow" horzOverflow="overflow" vert="horz" wrap="square" anchor="t" anchorCtr="0">
              <a:spAutoFit/>
            </a:bodyPr>
            <a:lstStyle/>
            <a:p>
              <a:pPr>
                <a:defRPr lang="en-US" sz="1000" b="0" i="0" u="none" strike="noStrike" kern="1200" baseline="0">
                  <a:solidFill>
                    <a:schemeClr val="accent6">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6">
              <a:lumMod val="75000"/>
            </a:schemeClr>
          </a:solidFill>
          <a:ln>
            <a:noFill/>
          </a:ln>
          <a:effectLst/>
        </c:spPr>
        <c:dLbl>
          <c:idx val="0"/>
          <c:layout>
            <c:manualLayout>
              <c:x val="0.58997838505480915"/>
              <c:y val="3.4722921974789716E-3"/>
            </c:manualLayout>
          </c:layout>
          <c:spPr>
            <a:noFill/>
            <a:ln>
              <a:noFill/>
            </a:ln>
            <a:effectLst/>
          </c:spPr>
          <c:txPr>
            <a:bodyPr rot="0" spcFirstLastPara="1" vertOverflow="overflow" horzOverflow="overflow" vert="horz" wrap="square" anchor="t" anchorCtr="0">
              <a:spAutoFit/>
            </a:bodyPr>
            <a:lstStyle/>
            <a:p>
              <a:pPr>
                <a:defRPr lang="en-US" sz="1000" b="0" i="0" u="none" strike="noStrike" kern="1200" baseline="0">
                  <a:solidFill>
                    <a:schemeClr val="accent6">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6">
              <a:lumMod val="75000"/>
            </a:schemeClr>
          </a:solidFill>
          <a:ln>
            <a:noFill/>
          </a:ln>
          <a:effectLst/>
        </c:spPr>
        <c:dLbl>
          <c:idx val="0"/>
          <c:layout>
            <c:manualLayout>
              <c:x val="0.56031882044156234"/>
              <c:y val="-2.6215530188526456E-3"/>
            </c:manualLayout>
          </c:layout>
          <c:spPr>
            <a:noFill/>
            <a:ln>
              <a:noFill/>
            </a:ln>
            <a:effectLst/>
          </c:spPr>
          <c:txPr>
            <a:bodyPr rot="0" spcFirstLastPara="1" vertOverflow="overflow" horzOverflow="overflow" vert="horz" wrap="square" anchor="t" anchorCtr="0">
              <a:spAutoFit/>
            </a:bodyPr>
            <a:lstStyle/>
            <a:p>
              <a:pPr>
                <a:defRPr lang="en-US" sz="1000" b="0" i="0" u="none" strike="noStrike" kern="1200" baseline="0">
                  <a:solidFill>
                    <a:schemeClr val="accent6">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6">
              <a:lumMod val="75000"/>
            </a:schemeClr>
          </a:solidFill>
          <a:ln>
            <a:noFill/>
          </a:ln>
          <a:effectLst/>
        </c:spPr>
        <c:dLbl>
          <c:idx val="0"/>
          <c:layout>
            <c:manualLayout>
              <c:x val="0.530708918738099"/>
              <c:y val="3.4722921974789716E-3"/>
            </c:manualLayout>
          </c:layout>
          <c:spPr>
            <a:noFill/>
            <a:ln>
              <a:noFill/>
            </a:ln>
            <a:effectLst/>
          </c:spPr>
          <c:txPr>
            <a:bodyPr rot="0" spcFirstLastPara="1" vertOverflow="overflow" horzOverflow="overflow" vert="horz" wrap="square" anchor="t" anchorCtr="0">
              <a:spAutoFit/>
            </a:bodyPr>
            <a:lstStyle/>
            <a:p>
              <a:pPr>
                <a:defRPr lang="en-US" sz="1000" b="0" i="0" u="none" strike="noStrike" kern="1200" baseline="0">
                  <a:solidFill>
                    <a:schemeClr val="accent6">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6">
              <a:lumMod val="75000"/>
            </a:schemeClr>
          </a:solidFill>
          <a:ln>
            <a:noFill/>
          </a:ln>
          <a:effectLst/>
        </c:spPr>
        <c:dLbl>
          <c:idx val="0"/>
          <c:layout>
            <c:manualLayout>
              <c:x val="0.51687406721218676"/>
              <c:y val="3.4722921974789716E-3"/>
            </c:manualLayout>
          </c:layout>
          <c:spPr>
            <a:noFill/>
            <a:ln>
              <a:noFill/>
            </a:ln>
            <a:effectLst/>
          </c:spPr>
          <c:txPr>
            <a:bodyPr rot="0" spcFirstLastPara="1" vertOverflow="overflow" horzOverflow="overflow" vert="horz" wrap="square" anchor="t" anchorCtr="0">
              <a:spAutoFit/>
            </a:bodyPr>
            <a:lstStyle/>
            <a:p>
              <a:pPr>
                <a:defRPr lang="en-US" sz="1000" b="0" i="0" u="none" strike="noStrike" kern="1200" baseline="0">
                  <a:solidFill>
                    <a:schemeClr val="accent6">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lumMod val="75000"/>
            </a:schemeClr>
          </a:solidFill>
          <a:ln>
            <a:noFill/>
          </a:ln>
          <a:effectLst/>
        </c:spPr>
        <c:dLbl>
          <c:idx val="0"/>
          <c:layout>
            <c:manualLayout>
              <c:x val="0.42733081158972763"/>
              <c:y val="3.4722921974789716E-3"/>
            </c:manualLayout>
          </c:layout>
          <c:spPr>
            <a:noFill/>
            <a:ln>
              <a:noFill/>
            </a:ln>
            <a:effectLst/>
          </c:spPr>
          <c:txPr>
            <a:bodyPr rot="0" spcFirstLastPara="1" vertOverflow="overflow" horzOverflow="overflow" vert="horz" wrap="square" anchor="t" anchorCtr="0">
              <a:spAutoFit/>
            </a:bodyPr>
            <a:lstStyle/>
            <a:p>
              <a:pPr>
                <a:defRPr lang="en-US" sz="1000" b="0" i="0" u="none" strike="noStrike" kern="1200" baseline="0">
                  <a:solidFill>
                    <a:schemeClr val="accent6">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lumMod val="75000"/>
            </a:schemeClr>
          </a:solidFill>
          <a:ln>
            <a:noFill/>
          </a:ln>
          <a:effectLst/>
        </c:spPr>
        <c:dLbl>
          <c:idx val="0"/>
          <c:layout>
            <c:manualLayout>
              <c:x val="0.39690108589367495"/>
              <c:y val="3.0469226081657527E-3"/>
            </c:manualLayout>
          </c:layout>
          <c:spPr>
            <a:noFill/>
            <a:ln>
              <a:noFill/>
            </a:ln>
            <a:effectLst/>
          </c:spPr>
          <c:txPr>
            <a:bodyPr rot="0" spcFirstLastPara="1" vertOverflow="overflow" horzOverflow="overflow" vert="horz" wrap="square" anchor="t" anchorCtr="0">
              <a:spAutoFit/>
            </a:bodyPr>
            <a:lstStyle/>
            <a:p>
              <a:pPr>
                <a:defRPr lang="en-US" sz="1000" b="0" i="0" u="none" strike="noStrike" kern="1200" baseline="0">
                  <a:solidFill>
                    <a:schemeClr val="accent6">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EAF3D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481439820022498"/>
          <c:y val="0.11805555555555555"/>
          <c:w val="0.77223917322834645"/>
          <c:h val="0.8331668307086616"/>
        </c:manualLayout>
      </c:layout>
      <c:barChart>
        <c:barDir val="bar"/>
        <c:grouping val="stacked"/>
        <c:varyColors val="0"/>
        <c:ser>
          <c:idx val="0"/>
          <c:order val="0"/>
          <c:tx>
            <c:strRef>
              <c:f>'Outside Sub Coverage'!$B$3</c:f>
              <c:strCache>
                <c:ptCount val="1"/>
                <c:pt idx="0">
                  <c:v>Periods Covered </c:v>
                </c:pt>
              </c:strCache>
            </c:strRef>
          </c:tx>
          <c:spPr>
            <a:solidFill>
              <a:schemeClr val="accent6">
                <a:lumMod val="75000"/>
              </a:schemeClr>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0-D6B9-49D3-962E-BE9848CD01A2}"/>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1-D6B9-49D3-962E-BE9848CD01A2}"/>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2-D6B9-49D3-962E-BE9848CD01A2}"/>
              </c:ext>
            </c:extLst>
          </c:dPt>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03-D6B9-49D3-962E-BE9848CD01A2}"/>
              </c:ext>
            </c:extLst>
          </c:dPt>
          <c:dPt>
            <c:idx val="4"/>
            <c:invertIfNegative val="0"/>
            <c:bubble3D val="0"/>
            <c:spPr>
              <a:solidFill>
                <a:schemeClr val="accent6">
                  <a:lumMod val="75000"/>
                </a:schemeClr>
              </a:solidFill>
              <a:ln>
                <a:noFill/>
              </a:ln>
              <a:effectLst/>
            </c:spPr>
            <c:extLst>
              <c:ext xmlns:c16="http://schemas.microsoft.com/office/drawing/2014/chart" uri="{C3380CC4-5D6E-409C-BE32-E72D297353CC}">
                <c16:uniqueId val="{00000004-D6B9-49D3-962E-BE9848CD01A2}"/>
              </c:ext>
            </c:extLst>
          </c:dPt>
          <c:dPt>
            <c:idx val="5"/>
            <c:invertIfNegative val="0"/>
            <c:bubble3D val="0"/>
            <c:spPr>
              <a:solidFill>
                <a:schemeClr val="accent6">
                  <a:lumMod val="75000"/>
                </a:schemeClr>
              </a:solidFill>
              <a:ln>
                <a:noFill/>
              </a:ln>
              <a:effectLst/>
            </c:spPr>
            <c:extLst>
              <c:ext xmlns:c16="http://schemas.microsoft.com/office/drawing/2014/chart" uri="{C3380CC4-5D6E-409C-BE32-E72D297353CC}">
                <c16:uniqueId val="{00000005-D6B9-49D3-962E-BE9848CD01A2}"/>
              </c:ext>
            </c:extLst>
          </c:dPt>
          <c:dPt>
            <c:idx val="6"/>
            <c:invertIfNegative val="0"/>
            <c:bubble3D val="0"/>
            <c:spPr>
              <a:solidFill>
                <a:schemeClr val="accent6">
                  <a:lumMod val="75000"/>
                </a:schemeClr>
              </a:solidFill>
              <a:ln>
                <a:noFill/>
              </a:ln>
              <a:effectLst/>
            </c:spPr>
            <c:extLst>
              <c:ext xmlns:c16="http://schemas.microsoft.com/office/drawing/2014/chart" uri="{C3380CC4-5D6E-409C-BE32-E72D297353CC}">
                <c16:uniqueId val="{00000006-D6B9-49D3-962E-BE9848CD01A2}"/>
              </c:ext>
            </c:extLst>
          </c:dPt>
          <c:dPt>
            <c:idx val="7"/>
            <c:invertIfNegative val="0"/>
            <c:bubble3D val="0"/>
            <c:spPr>
              <a:solidFill>
                <a:schemeClr val="accent6">
                  <a:lumMod val="75000"/>
                </a:schemeClr>
              </a:solidFill>
              <a:ln>
                <a:noFill/>
              </a:ln>
              <a:effectLst/>
            </c:spPr>
            <c:extLst>
              <c:ext xmlns:c16="http://schemas.microsoft.com/office/drawing/2014/chart" uri="{C3380CC4-5D6E-409C-BE32-E72D297353CC}">
                <c16:uniqueId val="{00000007-D6B9-49D3-962E-BE9848CD01A2}"/>
              </c:ext>
            </c:extLst>
          </c:dPt>
          <c:dPt>
            <c:idx val="8"/>
            <c:invertIfNegative val="0"/>
            <c:bubble3D val="0"/>
            <c:spPr>
              <a:solidFill>
                <a:schemeClr val="accent6">
                  <a:lumMod val="75000"/>
                </a:schemeClr>
              </a:solidFill>
              <a:ln>
                <a:noFill/>
              </a:ln>
              <a:effectLst/>
            </c:spPr>
            <c:extLst>
              <c:ext xmlns:c16="http://schemas.microsoft.com/office/drawing/2014/chart" uri="{C3380CC4-5D6E-409C-BE32-E72D297353CC}">
                <c16:uniqueId val="{00000008-D6B9-49D3-962E-BE9848CD01A2}"/>
              </c:ext>
            </c:extLst>
          </c:dPt>
          <c:dLbls>
            <c:dLbl>
              <c:idx val="0"/>
              <c:layout>
                <c:manualLayout>
                  <c:x val="0.66241907261592303"/>
                  <c:y val="-3.4722921974790831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6B9-49D3-962E-BE9848CD01A2}"/>
                </c:ext>
              </c:extLst>
            </c:dLbl>
            <c:dLbl>
              <c:idx val="1"/>
              <c:layout>
                <c:manualLayout>
                  <c:x val="0.66241907261592303"/>
                  <c:y val="3.0469226081657527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6B9-49D3-962E-BE9848CD01A2}"/>
                </c:ext>
              </c:extLst>
            </c:dLbl>
            <c:dLbl>
              <c:idx val="2"/>
              <c:layout>
                <c:manualLayout>
                  <c:x val="0.65322911841902098"/>
                  <c:y val="3.4722921974789716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6B9-49D3-962E-BE9848CD01A2}"/>
                </c:ext>
              </c:extLst>
            </c:dLbl>
            <c:dLbl>
              <c:idx val="3"/>
              <c:layout>
                <c:manualLayout>
                  <c:x val="0.58997838505480915"/>
                  <c:y val="3.4722921974789716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6B9-49D3-962E-BE9848CD01A2}"/>
                </c:ext>
              </c:extLst>
            </c:dLbl>
            <c:dLbl>
              <c:idx val="4"/>
              <c:layout>
                <c:manualLayout>
                  <c:x val="0.56031882044156234"/>
                  <c:y val="-2.6215530188526456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6B9-49D3-962E-BE9848CD01A2}"/>
                </c:ext>
              </c:extLst>
            </c:dLbl>
            <c:dLbl>
              <c:idx val="5"/>
              <c:layout>
                <c:manualLayout>
                  <c:x val="0.530708918738099"/>
                  <c:y val="3.4722921974789716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6B9-49D3-962E-BE9848CD01A2}"/>
                </c:ext>
              </c:extLst>
            </c:dLbl>
            <c:dLbl>
              <c:idx val="6"/>
              <c:layout>
                <c:manualLayout>
                  <c:x val="0.51687406721218676"/>
                  <c:y val="3.4722921974789716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6B9-49D3-962E-BE9848CD01A2}"/>
                </c:ext>
              </c:extLst>
            </c:dLbl>
            <c:dLbl>
              <c:idx val="7"/>
              <c:layout>
                <c:manualLayout>
                  <c:x val="0.42733081158972763"/>
                  <c:y val="3.4722921974789716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6B9-49D3-962E-BE9848CD01A2}"/>
                </c:ext>
              </c:extLst>
            </c:dLbl>
            <c:dLbl>
              <c:idx val="8"/>
              <c:layout>
                <c:manualLayout>
                  <c:x val="0.39690108589367495"/>
                  <c:y val="3.0469226081657527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D6B9-49D3-962E-BE9848CD01A2}"/>
                </c:ext>
              </c:extLst>
            </c:dLbl>
            <c:spPr>
              <a:noFill/>
              <a:ln>
                <a:noFill/>
              </a:ln>
              <a:effectLst/>
            </c:spPr>
            <c:txPr>
              <a:bodyPr rot="0" spcFirstLastPara="1" vertOverflow="overflow" horzOverflow="overflow" vert="horz" wrap="square" anchor="t" anchorCtr="0">
                <a:spAutoFit/>
              </a:bodyPr>
              <a:lstStyle/>
              <a:p>
                <a:pPr>
                  <a:defRPr lang="en-US" sz="1000" b="0" i="0" u="none" strike="noStrike" kern="1200" baseline="0">
                    <a:solidFill>
                      <a:schemeClr val="accent6">
                        <a:lumMod val="50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'Outside Sub Coverage'!$A$4:$A$13</c:f>
              <c:strCache>
                <c:ptCount val="9"/>
                <c:pt idx="0">
                  <c:v>Hamadani</c:v>
                </c:pt>
                <c:pt idx="1">
                  <c:v>Rita</c:v>
                </c:pt>
                <c:pt idx="2">
                  <c:v>Palmer</c:v>
                </c:pt>
                <c:pt idx="3">
                  <c:v>Rhodes</c:v>
                </c:pt>
                <c:pt idx="4">
                  <c:v>Henley</c:v>
                </c:pt>
                <c:pt idx="5">
                  <c:v>Williamson</c:v>
                </c:pt>
                <c:pt idx="6">
                  <c:v>Eaton</c:v>
                </c:pt>
                <c:pt idx="7">
                  <c:v>Epps</c:v>
                </c:pt>
                <c:pt idx="8">
                  <c:v>Arrighi</c:v>
                </c:pt>
              </c:strCache>
            </c:strRef>
          </c:cat>
          <c:val>
            <c:numRef>
              <c:f>'Outside Sub Coverage'!$B$4:$B$13</c:f>
              <c:numCache>
                <c:formatCode>General</c:formatCode>
                <c:ptCount val="9"/>
                <c:pt idx="0">
                  <c:v>13</c:v>
                </c:pt>
                <c:pt idx="1">
                  <c:v>13</c:v>
                </c:pt>
                <c:pt idx="2">
                  <c:v>14</c:v>
                </c:pt>
                <c:pt idx="3">
                  <c:v>24</c:v>
                </c:pt>
                <c:pt idx="4">
                  <c:v>29</c:v>
                </c:pt>
                <c:pt idx="5">
                  <c:v>33</c:v>
                </c:pt>
                <c:pt idx="6">
                  <c:v>35</c:v>
                </c:pt>
                <c:pt idx="7">
                  <c:v>48</c:v>
                </c:pt>
                <c:pt idx="8">
                  <c:v>53</c:v>
                </c:pt>
              </c:numCache>
            </c:numRef>
          </c:val>
          <c:extLst>
            <c:ext xmlns:c16="http://schemas.microsoft.com/office/drawing/2014/chart" uri="{C3380CC4-5D6E-409C-BE32-E72D297353CC}">
              <c16:uniqueId val="{00000009-D6B9-49D3-962E-BE9848CD01A2}"/>
            </c:ext>
          </c:extLst>
        </c:ser>
        <c:ser>
          <c:idx val="1"/>
          <c:order val="1"/>
          <c:tx>
            <c:strRef>
              <c:f>'Outside Sub Coverage'!$C$3</c:f>
              <c:strCache>
                <c:ptCount val="1"/>
                <c:pt idx="0">
                  <c:v>Sum of Field1</c:v>
                </c:pt>
              </c:strCache>
            </c:strRef>
          </c:tx>
          <c:spPr>
            <a:solidFill>
              <a:srgbClr val="EAF3DE"/>
            </a:solidFill>
            <a:ln>
              <a:noFill/>
            </a:ln>
            <a:effectLst/>
          </c:spPr>
          <c:invertIfNegative val="0"/>
          <c:cat>
            <c:strRef>
              <c:f>'Outside Sub Coverage'!$A$4:$A$13</c:f>
              <c:strCache>
                <c:ptCount val="9"/>
                <c:pt idx="0">
                  <c:v>Hamadani</c:v>
                </c:pt>
                <c:pt idx="1">
                  <c:v>Rita</c:v>
                </c:pt>
                <c:pt idx="2">
                  <c:v>Palmer</c:v>
                </c:pt>
                <c:pt idx="3">
                  <c:v>Rhodes</c:v>
                </c:pt>
                <c:pt idx="4">
                  <c:v>Henley</c:v>
                </c:pt>
                <c:pt idx="5">
                  <c:v>Williamson</c:v>
                </c:pt>
                <c:pt idx="6">
                  <c:v>Eaton</c:v>
                </c:pt>
                <c:pt idx="7">
                  <c:v>Epps</c:v>
                </c:pt>
                <c:pt idx="8">
                  <c:v>Arrighi</c:v>
                </c:pt>
              </c:strCache>
            </c:strRef>
          </c:cat>
          <c:val>
            <c:numRef>
              <c:f>'Outside Sub Coverage'!$C$4:$C$13</c:f>
              <c:numCache>
                <c:formatCode>General</c:formatCode>
                <c:ptCount val="9"/>
                <c:pt idx="0">
                  <c:v>40</c:v>
                </c:pt>
                <c:pt idx="1">
                  <c:v>40</c:v>
                </c:pt>
                <c:pt idx="2">
                  <c:v>39</c:v>
                </c:pt>
                <c:pt idx="3">
                  <c:v>29</c:v>
                </c:pt>
                <c:pt idx="4">
                  <c:v>24</c:v>
                </c:pt>
                <c:pt idx="5">
                  <c:v>20</c:v>
                </c:pt>
                <c:pt idx="6">
                  <c:v>18</c:v>
                </c:pt>
                <c:pt idx="7">
                  <c:v>5</c:v>
                </c:pt>
                <c:pt idx="8">
                  <c:v>0</c:v>
                </c:pt>
              </c:numCache>
            </c:numRef>
          </c:val>
          <c:extLst>
            <c:ext xmlns:c16="http://schemas.microsoft.com/office/drawing/2014/chart" uri="{C3380CC4-5D6E-409C-BE32-E72D297353CC}">
              <c16:uniqueId val="{0000000A-D6B9-49D3-962E-BE9848CD01A2}"/>
            </c:ext>
          </c:extLst>
        </c:ser>
        <c:dLbls>
          <c:showLegendKey val="0"/>
          <c:showVal val="0"/>
          <c:showCatName val="0"/>
          <c:showSerName val="0"/>
          <c:showPercent val="0"/>
          <c:showBubbleSize val="0"/>
        </c:dLbls>
        <c:gapWidth val="150"/>
        <c:overlap val="100"/>
        <c:axId val="610831344"/>
        <c:axId val="610828464"/>
      </c:barChart>
      <c:catAx>
        <c:axId val="610831344"/>
        <c:scaling>
          <c:orientation val="minMax"/>
        </c:scaling>
        <c:delete val="0"/>
        <c:axPos val="l"/>
        <c:numFmt formatCode="General" sourceLinked="1"/>
        <c:majorTickMark val="none"/>
        <c:minorTickMark val="none"/>
        <c:tickLblPos val="nextTo"/>
        <c:spPr>
          <a:solidFill>
            <a:schemeClr val="bg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accent6">
                    <a:lumMod val="50000"/>
                  </a:schemeClr>
                </a:solidFill>
                <a:latin typeface="+mn-lt"/>
                <a:ea typeface="+mn-ea"/>
                <a:cs typeface="+mn-cs"/>
              </a:defRPr>
            </a:pPr>
            <a:endParaRPr lang="en-US"/>
          </a:p>
        </c:txPr>
        <c:crossAx val="610828464"/>
        <c:crosses val="autoZero"/>
        <c:auto val="1"/>
        <c:lblAlgn val="ctr"/>
        <c:lblOffset val="100"/>
        <c:noMultiLvlLbl val="0"/>
      </c:catAx>
      <c:valAx>
        <c:axId val="610828464"/>
        <c:scaling>
          <c:orientation val="minMax"/>
        </c:scaling>
        <c:delete val="1"/>
        <c:axPos val="b"/>
        <c:numFmt formatCode="General" sourceLinked="1"/>
        <c:majorTickMark val="none"/>
        <c:minorTickMark val="none"/>
        <c:tickLblPos val="nextTo"/>
        <c:crossAx val="610831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[GHS Class Coverage Analysis.xlsx]Most Teachers Covered!Most_Teachers_Covered</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6">
                    <a:lumMod val="50000"/>
                  </a:schemeClr>
                </a:solidFill>
              </a:rPr>
              <a:t>Top</a:t>
            </a:r>
            <a:r>
              <a:rPr lang="en-US" baseline="0">
                <a:solidFill>
                  <a:schemeClr val="accent6">
                    <a:lumMod val="50000"/>
                  </a:schemeClr>
                </a:solidFill>
              </a:rPr>
              <a:t> Teachers By Coverage</a:t>
            </a:r>
            <a:endParaRPr lang="en-US">
              <a:solidFill>
                <a:schemeClr val="accent6">
                  <a:lumMod val="50000"/>
                </a:schemeClr>
              </a:solidFill>
            </a:endParaRPr>
          </a:p>
        </c:rich>
      </c:tx>
      <c:layout>
        <c:manualLayout>
          <c:xMode val="edge"/>
          <c:yMode val="edge"/>
          <c:x val="2.2887102035974331E-2"/>
          <c:y val="3.35008375209380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7973856209150325E-2"/>
          <c:y val="0.21464120370370371"/>
          <c:w val="0.96405228758169936"/>
          <c:h val="0.61106326552930879"/>
        </c:manualLayout>
      </c:layout>
      <c:barChart>
        <c:barDir val="col"/>
        <c:grouping val="clustered"/>
        <c:varyColors val="0"/>
        <c:ser>
          <c:idx val="0"/>
          <c:order val="0"/>
          <c:tx>
            <c:strRef>
              <c:f>'Most Teachers Covered'!$B$3</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'Most Teachers Covered'!$A$4:$A$10</c:f>
              <c:strCache>
                <c:ptCount val="6"/>
                <c:pt idx="0">
                  <c:v>NSCC Prof.</c:v>
                </c:pt>
                <c:pt idx="1">
                  <c:v>Garcia</c:v>
                </c:pt>
                <c:pt idx="2">
                  <c:v>Claypool</c:v>
                </c:pt>
                <c:pt idx="3">
                  <c:v>Heath</c:v>
                </c:pt>
                <c:pt idx="4">
                  <c:v>Lyons</c:v>
                </c:pt>
                <c:pt idx="5">
                  <c:v>Coppock</c:v>
                </c:pt>
              </c:strCache>
            </c:strRef>
          </c:cat>
          <c:val>
            <c:numRef>
              <c:f>'Most Teachers Covered'!$B$4:$B$10</c:f>
              <c:numCache>
                <c:formatCode>General</c:formatCode>
                <c:ptCount val="6"/>
                <c:pt idx="0">
                  <c:v>47</c:v>
                </c:pt>
                <c:pt idx="1">
                  <c:v>25</c:v>
                </c:pt>
                <c:pt idx="2">
                  <c:v>20</c:v>
                </c:pt>
                <c:pt idx="3">
                  <c:v>19</c:v>
                </c:pt>
                <c:pt idx="4">
                  <c:v>18</c:v>
                </c:pt>
                <c:pt idx="5">
                  <c:v>17</c:v>
                </c:pt>
              </c:numCache>
            </c:numRef>
          </c:val>
          <c:extLst>
            <c:ext xmlns:c16="http://schemas.microsoft.com/office/drawing/2014/chart" uri="{C3380CC4-5D6E-409C-BE32-E72D297353CC}">
              <c16:uniqueId val="{00000000-FCB1-454E-98C5-6DD09593440A}"/>
            </c:ext>
          </c:extLst>
        </c:ser>
        <c:dLbls>
          <c:dLblPos val="outEnd"/>
          <c:showLegendKey val="0"/>
          <c:showVal val="1"/>
          <c:showCatName val="0"/>
          <c:showSerName val="0"/>
          <c:showPercent val="0"/>
          <c:showBubbleSize val="0"/>
        </c:dLbls>
        <c:gapWidth val="219"/>
        <c:overlap val="-27"/>
        <c:axId val="1105626415"/>
        <c:axId val="1105625455"/>
      </c:barChart>
      <c:catAx>
        <c:axId val="11056264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1105625455"/>
        <c:crosses val="autoZero"/>
        <c:auto val="1"/>
        <c:lblAlgn val="ctr"/>
        <c:lblOffset val="100"/>
        <c:noMultiLvlLbl val="0"/>
      </c:catAx>
      <c:valAx>
        <c:axId val="1105625455"/>
        <c:scaling>
          <c:orientation val="minMax"/>
        </c:scaling>
        <c:delete val="1"/>
        <c:axPos val="l"/>
        <c:numFmt formatCode="General" sourceLinked="1"/>
        <c:majorTickMark val="none"/>
        <c:minorTickMark val="none"/>
        <c:tickLblPos val="nextTo"/>
        <c:crossAx val="1105626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[GHS Class Coverage Analysis.xlsx]Classes Coverage Trend!Class_Coverage_Trend</c:name>
    <c:fmtId val="3"/>
  </c:pivotSource>
  <c:chart>
    <c:title>
      <c:tx>
        <c:rich>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r>
              <a:rPr lang="en-US">
                <a:solidFill>
                  <a:schemeClr val="accent6">
                    <a:lumMod val="50000"/>
                  </a:schemeClr>
                </a:solidFill>
              </a:rPr>
              <a:t>Class</a:t>
            </a:r>
            <a:r>
              <a:rPr lang="en-US" baseline="0">
                <a:solidFill>
                  <a:schemeClr val="accent6">
                    <a:lumMod val="50000"/>
                  </a:schemeClr>
                </a:solidFill>
              </a:rPr>
              <a:t> Coverage Trend By Month</a:t>
            </a:r>
            <a:endParaRPr lang="en-US">
              <a:solidFill>
                <a:schemeClr val="accent6">
                  <a:lumMod val="50000"/>
                </a:schemeClr>
              </a:solidFill>
            </a:endParaRPr>
          </a:p>
        </c:rich>
      </c:tx>
      <c:layout>
        <c:manualLayout>
          <c:xMode val="edge"/>
          <c:yMode val="edge"/>
          <c:x val="2.2458223972003487E-2"/>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0070493454179255E-2"/>
          <c:y val="0.19317708333333333"/>
          <c:w val="0.97876466887920022"/>
          <c:h val="0.68641527230971133"/>
        </c:manualLayout>
      </c:layout>
      <c:lineChart>
        <c:grouping val="standard"/>
        <c:varyColors val="0"/>
        <c:ser>
          <c:idx val="0"/>
          <c:order val="0"/>
          <c:tx>
            <c:strRef>
              <c:f>'Classes Coverage Trend'!$B$3</c:f>
              <c:strCache>
                <c:ptCount val="1"/>
                <c:pt idx="0">
                  <c:v>Total</c:v>
                </c:pt>
              </c:strCache>
            </c:strRef>
          </c:tx>
          <c:spPr>
            <a:ln w="28575" cap="rnd">
              <a:solidFill>
                <a:schemeClr val="accent6">
                  <a:lumMod val="75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'Classes Coverage Trend'!$A$4:$A$11</c:f>
              <c:strCache>
                <c:ptCount val="7"/>
                <c:pt idx="0">
                  <c:v>Aug</c:v>
                </c:pt>
                <c:pt idx="1">
                  <c:v>Sep</c:v>
                </c:pt>
                <c:pt idx="2">
                  <c:v>Oct</c:v>
                </c:pt>
                <c:pt idx="3">
                  <c:v>Nov</c:v>
                </c:pt>
                <c:pt idx="4">
                  <c:v>Dec</c:v>
                </c:pt>
                <c:pt idx="5">
                  <c:v>Jan</c:v>
                </c:pt>
                <c:pt idx="6">
                  <c:v>Feb</c:v>
                </c:pt>
              </c:strCache>
            </c:strRef>
          </c:cat>
          <c:val>
            <c:numRef>
              <c:f>'Classes Coverage Trend'!$B$4:$B$11</c:f>
              <c:numCache>
                <c:formatCode>General</c:formatCode>
                <c:ptCount val="7"/>
                <c:pt idx="0">
                  <c:v>98</c:v>
                </c:pt>
                <c:pt idx="1">
                  <c:v>113</c:v>
                </c:pt>
                <c:pt idx="2">
                  <c:v>83</c:v>
                </c:pt>
                <c:pt idx="3">
                  <c:v>93</c:v>
                </c:pt>
                <c:pt idx="4">
                  <c:v>61</c:v>
                </c:pt>
                <c:pt idx="5">
                  <c:v>77</c:v>
                </c:pt>
                <c:pt idx="6">
                  <c:v>122</c:v>
                </c:pt>
              </c:numCache>
            </c:numRef>
          </c:val>
          <c:smooth val="0"/>
          <c:extLst>
            <c:ext xmlns:c16="http://schemas.microsoft.com/office/drawing/2014/chart" uri="{C3380CC4-5D6E-409C-BE32-E72D297353CC}">
              <c16:uniqueId val="{00000000-D375-4334-AB6F-50D2FC749EB7}"/>
            </c:ext>
          </c:extLst>
        </c:ser>
        <c:dLbls>
          <c:dLblPos val="t"/>
          <c:showLegendKey val="0"/>
          <c:showVal val="1"/>
          <c:showCatName val="0"/>
          <c:showSerName val="0"/>
          <c:showPercent val="0"/>
          <c:showBubbleSize val="0"/>
        </c:dLbls>
        <c:smooth val="0"/>
        <c:axId val="814193183"/>
        <c:axId val="814192223"/>
      </c:lineChart>
      <c:catAx>
        <c:axId val="814193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814192223"/>
        <c:crosses val="autoZero"/>
        <c:auto val="1"/>
        <c:lblAlgn val="ctr"/>
        <c:lblOffset val="100"/>
        <c:noMultiLvlLbl val="0"/>
      </c:catAx>
      <c:valAx>
        <c:axId val="814192223"/>
        <c:scaling>
          <c:orientation val="minMax"/>
        </c:scaling>
        <c:delete val="1"/>
        <c:axPos val="l"/>
        <c:numFmt formatCode="General" sourceLinked="1"/>
        <c:majorTickMark val="none"/>
        <c:minorTickMark val="none"/>
        <c:tickLblPos val="nextTo"/>
        <c:crossAx val="814193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[GHS Class Coverage Analysis.xlsx]Classes Coverage by Days!Class_Coverage_by_Day</c:name>
    <c:fmtId val="2"/>
  </c:pivotSource>
  <c:chart>
    <c:title>
      <c:tx>
        <c:rich>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r>
              <a:rPr lang="en-US">
                <a:solidFill>
                  <a:schemeClr val="accent6">
                    <a:lumMod val="50000"/>
                  </a:schemeClr>
                </a:solidFill>
              </a:rPr>
              <a:t>Classes</a:t>
            </a:r>
            <a:r>
              <a:rPr lang="en-US" baseline="0">
                <a:solidFill>
                  <a:schemeClr val="accent6">
                    <a:lumMod val="50000"/>
                  </a:schemeClr>
                </a:solidFill>
              </a:rPr>
              <a:t> Coverage By Day</a:t>
            </a:r>
          </a:p>
        </c:rich>
      </c:tx>
      <c:layout>
        <c:manualLayout>
          <c:xMode val="edge"/>
          <c:yMode val="edge"/>
          <c:x val="2.0472222222222235E-2"/>
          <c:y val="4.62962962962962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1111111111111112E-2"/>
          <c:y val="0.19900793650793655"/>
          <c:w val="0.97777777777777775"/>
          <c:h val="0.64809346748323138"/>
        </c:manualLayout>
      </c:layout>
      <c:lineChart>
        <c:grouping val="standard"/>
        <c:varyColors val="0"/>
        <c:ser>
          <c:idx val="0"/>
          <c:order val="0"/>
          <c:tx>
            <c:strRef>
              <c:f>'Classes Coverage by Days'!$B$3</c:f>
              <c:strCache>
                <c:ptCount val="1"/>
                <c:pt idx="0">
                  <c:v>Total</c:v>
                </c:pt>
              </c:strCache>
            </c:strRef>
          </c:tx>
          <c:spPr>
            <a:ln w="28575" cap="rnd">
              <a:solidFill>
                <a:schemeClr val="accent6">
                  <a:lumMod val="75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'Classes Coverage by Days'!$A$4:$A$9</c:f>
              <c:strCache>
                <c:ptCount val="5"/>
                <c:pt idx="0">
                  <c:v>Mon</c:v>
                </c:pt>
                <c:pt idx="1">
                  <c:v>Tue</c:v>
                </c:pt>
                <c:pt idx="2">
                  <c:v>Wed</c:v>
                </c:pt>
                <c:pt idx="3">
                  <c:v>Thu</c:v>
                </c:pt>
                <c:pt idx="4">
                  <c:v>Fri</c:v>
                </c:pt>
              </c:strCache>
            </c:strRef>
          </c:cat>
          <c:val>
            <c:numRef>
              <c:f>'Classes Coverage by Days'!$B$4:$B$9</c:f>
              <c:numCache>
                <c:formatCode>General</c:formatCode>
                <c:ptCount val="5"/>
                <c:pt idx="0">
                  <c:v>106</c:v>
                </c:pt>
                <c:pt idx="1">
                  <c:v>121</c:v>
                </c:pt>
                <c:pt idx="2">
                  <c:v>138</c:v>
                </c:pt>
                <c:pt idx="3">
                  <c:v>144</c:v>
                </c:pt>
                <c:pt idx="4">
                  <c:v>138</c:v>
                </c:pt>
              </c:numCache>
            </c:numRef>
          </c:val>
          <c:smooth val="0"/>
          <c:extLst>
            <c:ext xmlns:c16="http://schemas.microsoft.com/office/drawing/2014/chart" uri="{C3380CC4-5D6E-409C-BE32-E72D297353CC}">
              <c16:uniqueId val="{00000000-6769-4F7D-B542-EDE9D66EFFA6}"/>
            </c:ext>
          </c:extLst>
        </c:ser>
        <c:dLbls>
          <c:dLblPos val="t"/>
          <c:showLegendKey val="0"/>
          <c:showVal val="1"/>
          <c:showCatName val="0"/>
          <c:showSerName val="0"/>
          <c:showPercent val="0"/>
          <c:showBubbleSize val="0"/>
        </c:dLbls>
        <c:smooth val="0"/>
        <c:axId val="1105624975"/>
        <c:axId val="1105621135"/>
      </c:lineChart>
      <c:catAx>
        <c:axId val="1105624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1105621135"/>
        <c:crosses val="autoZero"/>
        <c:auto val="1"/>
        <c:lblAlgn val="ctr"/>
        <c:lblOffset val="100"/>
        <c:noMultiLvlLbl val="0"/>
      </c:catAx>
      <c:valAx>
        <c:axId val="1105621135"/>
        <c:scaling>
          <c:orientation val="minMax"/>
        </c:scaling>
        <c:delete val="1"/>
        <c:axPos val="l"/>
        <c:numFmt formatCode="General" sourceLinked="1"/>
        <c:majorTickMark val="none"/>
        <c:minorTickMark val="none"/>
        <c:tickLblPos val="nextTo"/>
        <c:crossAx val="1105624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[GHS Class Coverage Analysis.xlsx]Classeoom_Associates_Workload!Classroom_Associate_Workload</c:name>
    <c:fmtId val="31"/>
  </c:pivotSource>
  <c:chart>
    <c:title>
      <c:tx>
        <c:rich>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r>
              <a:rPr lang="en-US">
                <a:solidFill>
                  <a:schemeClr val="accent6">
                    <a:lumMod val="50000"/>
                  </a:schemeClr>
                </a:solidFill>
              </a:rPr>
              <a:t>Periods</a:t>
            </a:r>
            <a:r>
              <a:rPr lang="en-US" baseline="0">
                <a:solidFill>
                  <a:schemeClr val="accent6">
                    <a:lumMod val="50000"/>
                  </a:schemeClr>
                </a:solidFill>
              </a:rPr>
              <a:t> Covered By Classroom Associates</a:t>
            </a:r>
          </a:p>
        </c:rich>
      </c:tx>
      <c:layout>
        <c:manualLayout>
          <c:xMode val="edge"/>
          <c:yMode val="edge"/>
          <c:x val="2.2812335958005251E-2"/>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EAF3D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dLbl>
          <c:idx val="0"/>
          <c:layout>
            <c:manualLayout>
              <c:x val="0.40665179352580916"/>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dLbl>
          <c:idx val="0"/>
          <c:layout>
            <c:manualLayout>
              <c:x val="0.38141535433070878"/>
              <c:y val="9.259259259259217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dLbl>
          <c:idx val="0"/>
          <c:layout>
            <c:manualLayout>
              <c:x val="0.44936176727909"/>
              <c:y val="4.629629629629544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dLbl>
          <c:idx val="0"/>
          <c:layout>
            <c:manualLayout>
              <c:x val="0.4549884076990375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dLbl>
          <c:idx val="0"/>
          <c:layout>
            <c:manualLayout>
              <c:x val="0.46757108486439186"/>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a:noFill/>
          </a:ln>
          <a:effectLst/>
        </c:spPr>
        <c:dLbl>
          <c:idx val="0"/>
          <c:layout>
            <c:manualLayout>
              <c:x val="0.52502405949256348"/>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75000"/>
            </a:schemeClr>
          </a:solidFill>
          <a:ln>
            <a:noFill/>
          </a:ln>
          <a:effectLst/>
        </c:spPr>
        <c:dLbl>
          <c:idx val="0"/>
          <c:layout>
            <c:manualLayout>
              <c:x val="0.52502405949256348"/>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lumMod val="75000"/>
            </a:schemeClr>
          </a:solidFill>
          <a:ln>
            <a:noFill/>
          </a:ln>
          <a:effectLst/>
        </c:spPr>
        <c:dLbl>
          <c:idx val="0"/>
          <c:layout>
            <c:manualLayout>
              <c:x val="0.46757108486439186"/>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75000"/>
            </a:schemeClr>
          </a:solidFill>
          <a:ln>
            <a:noFill/>
          </a:ln>
          <a:effectLst/>
        </c:spPr>
        <c:dLbl>
          <c:idx val="0"/>
          <c:layout>
            <c:manualLayout>
              <c:x val="0.4549884076990375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dLbl>
          <c:idx val="0"/>
          <c:layout>
            <c:manualLayout>
              <c:x val="0.44936176727909"/>
              <c:y val="4.629629629629544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dLbl>
          <c:idx val="0"/>
          <c:layout>
            <c:manualLayout>
              <c:x val="0.40665179352580916"/>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dLbl>
          <c:idx val="0"/>
          <c:layout>
            <c:manualLayout>
              <c:x val="0.38141535433070878"/>
              <c:y val="9.259259259259217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EAF3D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lumMod val="75000"/>
            </a:schemeClr>
          </a:solidFill>
          <a:ln>
            <a:noFill/>
          </a:ln>
          <a:effectLst/>
        </c:spPr>
        <c:dLbl>
          <c:idx val="0"/>
          <c:layout>
            <c:manualLayout>
              <c:x val="0.52502405949256348"/>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6">
              <a:lumMod val="75000"/>
            </a:schemeClr>
          </a:solidFill>
          <a:ln>
            <a:noFill/>
          </a:ln>
          <a:effectLst/>
        </c:spPr>
        <c:dLbl>
          <c:idx val="0"/>
          <c:layout>
            <c:manualLayout>
              <c:x val="0.46757108486439186"/>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6">
              <a:lumMod val="75000"/>
            </a:schemeClr>
          </a:solidFill>
          <a:ln>
            <a:noFill/>
          </a:ln>
          <a:effectLst/>
        </c:spPr>
        <c:dLbl>
          <c:idx val="0"/>
          <c:layout>
            <c:manualLayout>
              <c:x val="0.4549884076990375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6">
              <a:lumMod val="75000"/>
            </a:schemeClr>
          </a:solidFill>
          <a:ln>
            <a:noFill/>
          </a:ln>
          <a:effectLst/>
        </c:spPr>
        <c:dLbl>
          <c:idx val="0"/>
          <c:layout>
            <c:manualLayout>
              <c:x val="0.44936176727909"/>
              <c:y val="4.629629629629544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lumMod val="75000"/>
            </a:schemeClr>
          </a:solidFill>
          <a:ln>
            <a:noFill/>
          </a:ln>
          <a:effectLst/>
        </c:spPr>
        <c:dLbl>
          <c:idx val="0"/>
          <c:layout>
            <c:manualLayout>
              <c:x val="0.40665179352580916"/>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dLbl>
          <c:idx val="0"/>
          <c:layout>
            <c:manualLayout>
              <c:x val="0.38141535433070878"/>
              <c:y val="9.259259259259217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EAF3D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Classeoom_Associates_Workload!$B$3</c:f>
              <c:strCache>
                <c:ptCount val="1"/>
                <c:pt idx="0">
                  <c:v>Periods Covered </c:v>
                </c:pt>
              </c:strCache>
            </c:strRef>
          </c:tx>
          <c:spPr>
            <a:solidFill>
              <a:schemeClr val="accent6">
                <a:lumMod val="75000"/>
              </a:schemeClr>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0-9753-4005-B701-ECFFA9D54586}"/>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1-9753-4005-B701-ECFFA9D54586}"/>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2-9753-4005-B701-ECFFA9D54586}"/>
              </c:ext>
            </c:extLst>
          </c:dPt>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03-9753-4005-B701-ECFFA9D54586}"/>
              </c:ext>
            </c:extLst>
          </c:dPt>
          <c:dPt>
            <c:idx val="4"/>
            <c:invertIfNegative val="0"/>
            <c:bubble3D val="0"/>
            <c:spPr>
              <a:solidFill>
                <a:schemeClr val="accent6">
                  <a:lumMod val="75000"/>
                </a:schemeClr>
              </a:solidFill>
              <a:ln>
                <a:noFill/>
              </a:ln>
              <a:effectLst/>
            </c:spPr>
            <c:extLst>
              <c:ext xmlns:c16="http://schemas.microsoft.com/office/drawing/2014/chart" uri="{C3380CC4-5D6E-409C-BE32-E72D297353CC}">
                <c16:uniqueId val="{00000004-9753-4005-B701-ECFFA9D54586}"/>
              </c:ext>
            </c:extLst>
          </c:dPt>
          <c:dPt>
            <c:idx val="5"/>
            <c:invertIfNegative val="0"/>
            <c:bubble3D val="0"/>
            <c:spPr>
              <a:solidFill>
                <a:schemeClr val="accent6">
                  <a:lumMod val="75000"/>
                </a:schemeClr>
              </a:solidFill>
              <a:ln>
                <a:noFill/>
              </a:ln>
              <a:effectLst/>
            </c:spPr>
            <c:extLst>
              <c:ext xmlns:c16="http://schemas.microsoft.com/office/drawing/2014/chart" uri="{C3380CC4-5D6E-409C-BE32-E72D297353CC}">
                <c16:uniqueId val="{00000005-9753-4005-B701-ECFFA9D54586}"/>
              </c:ext>
            </c:extLst>
          </c:dPt>
          <c:dLbls>
            <c:dLbl>
              <c:idx val="0"/>
              <c:layout>
                <c:manualLayout>
                  <c:x val="0.52502405949256348"/>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753-4005-B701-ECFFA9D54586}"/>
                </c:ext>
              </c:extLst>
            </c:dLbl>
            <c:dLbl>
              <c:idx val="1"/>
              <c:layout>
                <c:manualLayout>
                  <c:x val="0.46757108486439186"/>
                  <c:y val="-4.629629629629629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753-4005-B701-ECFFA9D54586}"/>
                </c:ext>
              </c:extLst>
            </c:dLbl>
            <c:dLbl>
              <c:idx val="2"/>
              <c:layout>
                <c:manualLayout>
                  <c:x val="0.45498840769903753"/>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753-4005-B701-ECFFA9D54586}"/>
                </c:ext>
              </c:extLst>
            </c:dLbl>
            <c:dLbl>
              <c:idx val="3"/>
              <c:layout>
                <c:manualLayout>
                  <c:x val="0.44936176727909"/>
                  <c:y val="4.629629629629544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753-4005-B701-ECFFA9D54586}"/>
                </c:ext>
              </c:extLst>
            </c:dLbl>
            <c:dLbl>
              <c:idx val="4"/>
              <c:layout>
                <c:manualLayout>
                  <c:x val="0.40665179352580916"/>
                  <c:y val="-4.2437781360066642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753-4005-B701-ECFFA9D54586}"/>
                </c:ext>
              </c:extLst>
            </c:dLbl>
            <c:dLbl>
              <c:idx val="5"/>
              <c:layout>
                <c:manualLayout>
                  <c:x val="0.38141535433070878"/>
                  <c:y val="9.2592592592592171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753-4005-B701-ECFFA9D5458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Classeoom_Associates_Workload!$A$4:$A$10</c:f>
              <c:strCache>
                <c:ptCount val="6"/>
                <c:pt idx="0">
                  <c:v>Gleaves</c:v>
                </c:pt>
                <c:pt idx="1">
                  <c:v>Yarbrough</c:v>
                </c:pt>
                <c:pt idx="2">
                  <c:v>Jones</c:v>
                </c:pt>
                <c:pt idx="3">
                  <c:v>Hindieh</c:v>
                </c:pt>
                <c:pt idx="4">
                  <c:v>Payne</c:v>
                </c:pt>
                <c:pt idx="5">
                  <c:v>Ullah</c:v>
                </c:pt>
              </c:strCache>
            </c:strRef>
          </c:cat>
          <c:val>
            <c:numRef>
              <c:f>Classeoom_Associates_Workload!$B$4:$B$10</c:f>
              <c:numCache>
                <c:formatCode>General</c:formatCode>
                <c:ptCount val="6"/>
                <c:pt idx="0">
                  <c:v>306</c:v>
                </c:pt>
                <c:pt idx="1">
                  <c:v>392</c:v>
                </c:pt>
                <c:pt idx="2">
                  <c:v>406</c:v>
                </c:pt>
                <c:pt idx="3">
                  <c:v>418</c:v>
                </c:pt>
                <c:pt idx="4">
                  <c:v>477</c:v>
                </c:pt>
                <c:pt idx="5">
                  <c:v>517</c:v>
                </c:pt>
              </c:numCache>
            </c:numRef>
          </c:val>
          <c:extLst>
            <c:ext xmlns:c16="http://schemas.microsoft.com/office/drawing/2014/chart" uri="{C3380CC4-5D6E-409C-BE32-E72D297353CC}">
              <c16:uniqueId val="{00000006-9753-4005-B701-ECFFA9D54586}"/>
            </c:ext>
          </c:extLst>
        </c:ser>
        <c:ser>
          <c:idx val="1"/>
          <c:order val="1"/>
          <c:tx>
            <c:strRef>
              <c:f>Classeoom_Associates_Workload!$C$3</c:f>
              <c:strCache>
                <c:ptCount val="1"/>
                <c:pt idx="0">
                  <c:v>Remainder </c:v>
                </c:pt>
              </c:strCache>
            </c:strRef>
          </c:tx>
          <c:spPr>
            <a:solidFill>
              <a:srgbClr val="EAF3DE"/>
            </a:solidFill>
            <a:ln>
              <a:noFill/>
            </a:ln>
            <a:effectLst/>
          </c:spPr>
          <c:invertIfNegative val="0"/>
          <c:cat>
            <c:strRef>
              <c:f>Classeoom_Associates_Workload!$A$4:$A$10</c:f>
              <c:strCache>
                <c:ptCount val="6"/>
                <c:pt idx="0">
                  <c:v>Gleaves</c:v>
                </c:pt>
                <c:pt idx="1">
                  <c:v>Yarbrough</c:v>
                </c:pt>
                <c:pt idx="2">
                  <c:v>Jones</c:v>
                </c:pt>
                <c:pt idx="3">
                  <c:v>Hindieh</c:v>
                </c:pt>
                <c:pt idx="4">
                  <c:v>Payne</c:v>
                </c:pt>
                <c:pt idx="5">
                  <c:v>Ullah</c:v>
                </c:pt>
              </c:strCache>
            </c:strRef>
          </c:cat>
          <c:val>
            <c:numRef>
              <c:f>Classeoom_Associates_Workload!$C$4:$C$10</c:f>
              <c:numCache>
                <c:formatCode>General</c:formatCode>
                <c:ptCount val="6"/>
                <c:pt idx="0">
                  <c:v>211</c:v>
                </c:pt>
                <c:pt idx="1">
                  <c:v>125</c:v>
                </c:pt>
                <c:pt idx="2">
                  <c:v>111</c:v>
                </c:pt>
                <c:pt idx="3">
                  <c:v>99</c:v>
                </c:pt>
                <c:pt idx="4">
                  <c:v>40</c:v>
                </c:pt>
                <c:pt idx="5">
                  <c:v>0</c:v>
                </c:pt>
              </c:numCache>
            </c:numRef>
          </c:val>
          <c:extLst>
            <c:ext xmlns:c16="http://schemas.microsoft.com/office/drawing/2014/chart" uri="{C3380CC4-5D6E-409C-BE32-E72D297353CC}">
              <c16:uniqueId val="{00000007-9753-4005-B701-ECFFA9D54586}"/>
            </c:ext>
          </c:extLst>
        </c:ser>
        <c:dLbls>
          <c:showLegendKey val="0"/>
          <c:showVal val="0"/>
          <c:showCatName val="0"/>
          <c:showSerName val="0"/>
          <c:showPercent val="0"/>
          <c:showBubbleSize val="0"/>
        </c:dLbls>
        <c:gapWidth val="150"/>
        <c:overlap val="100"/>
        <c:axId val="1605410560"/>
        <c:axId val="1605406240"/>
      </c:barChart>
      <c:catAx>
        <c:axId val="16054105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5406240"/>
        <c:crosses val="autoZero"/>
        <c:auto val="1"/>
        <c:lblAlgn val="ctr"/>
        <c:lblOffset val="100"/>
        <c:noMultiLvlLbl val="0"/>
      </c:catAx>
      <c:valAx>
        <c:axId val="1605406240"/>
        <c:scaling>
          <c:orientation val="minMax"/>
        </c:scaling>
        <c:delete val="1"/>
        <c:axPos val="b"/>
        <c:numFmt formatCode="General" sourceLinked="1"/>
        <c:majorTickMark val="none"/>
        <c:minorTickMark val="none"/>
        <c:tickLblPos val="nextTo"/>
        <c:crossAx val="1605410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[GHS Class Coverage Analysis.xlsx]Classeoom_Associates_Workload!Classroom_Associate_Workload</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Periods</a:t>
            </a:r>
            <a:r>
              <a:rPr lang="en-US" baseline="0"/>
              <a:t> Covered By Classroom Associates</a:t>
            </a:r>
          </a:p>
        </c:rich>
      </c:tx>
      <c:layout>
        <c:manualLayout>
          <c:xMode val="edge"/>
          <c:yMode val="edge"/>
          <c:x val="2.2812335958005251E-2"/>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EAF3D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dLbl>
          <c:idx val="0"/>
          <c:layout>
            <c:manualLayout>
              <c:x val="0.40665179352580916"/>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dLbl>
          <c:idx val="0"/>
          <c:layout>
            <c:manualLayout>
              <c:x val="0.38141535433070878"/>
              <c:y val="9.259259259259217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dLbl>
          <c:idx val="0"/>
          <c:layout>
            <c:manualLayout>
              <c:x val="0.44936176727909"/>
              <c:y val="4.629629629629544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dLbl>
          <c:idx val="0"/>
          <c:layout>
            <c:manualLayout>
              <c:x val="0.4549884076990375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dLbl>
          <c:idx val="0"/>
          <c:layout>
            <c:manualLayout>
              <c:x val="0.46757108486439186"/>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a:noFill/>
          </a:ln>
          <a:effectLst/>
        </c:spPr>
        <c:dLbl>
          <c:idx val="0"/>
          <c:layout>
            <c:manualLayout>
              <c:x val="0.52502405949256348"/>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Classeoom_Associates_Workload!$B$3</c:f>
              <c:strCache>
                <c:ptCount val="1"/>
                <c:pt idx="0">
                  <c:v>Periods Covered </c:v>
                </c:pt>
              </c:strCache>
            </c:strRef>
          </c:tx>
          <c:spPr>
            <a:solidFill>
              <a:schemeClr val="accent6">
                <a:lumMod val="75000"/>
              </a:schemeClr>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8-75AC-49C3-85B2-3547336FD174}"/>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7-75AC-49C3-85B2-3547336FD174}"/>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6-75AC-49C3-85B2-3547336FD174}"/>
              </c:ext>
            </c:extLst>
          </c:dPt>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05-75AC-49C3-85B2-3547336FD174}"/>
              </c:ext>
            </c:extLst>
          </c:dPt>
          <c:dPt>
            <c:idx val="4"/>
            <c:invertIfNegative val="0"/>
            <c:bubble3D val="0"/>
            <c:spPr>
              <a:solidFill>
                <a:schemeClr val="accent6">
                  <a:lumMod val="75000"/>
                </a:schemeClr>
              </a:solidFill>
              <a:ln>
                <a:noFill/>
              </a:ln>
              <a:effectLst/>
            </c:spPr>
            <c:extLst>
              <c:ext xmlns:c16="http://schemas.microsoft.com/office/drawing/2014/chart" uri="{C3380CC4-5D6E-409C-BE32-E72D297353CC}">
                <c16:uniqueId val="{00000003-75AC-49C3-85B2-3547336FD174}"/>
              </c:ext>
            </c:extLst>
          </c:dPt>
          <c:dPt>
            <c:idx val="5"/>
            <c:invertIfNegative val="0"/>
            <c:bubble3D val="0"/>
            <c:spPr>
              <a:solidFill>
                <a:schemeClr val="accent6">
                  <a:lumMod val="75000"/>
                </a:schemeClr>
              </a:solidFill>
              <a:ln>
                <a:noFill/>
              </a:ln>
              <a:effectLst/>
            </c:spPr>
            <c:extLst>
              <c:ext xmlns:c16="http://schemas.microsoft.com/office/drawing/2014/chart" uri="{C3380CC4-5D6E-409C-BE32-E72D297353CC}">
                <c16:uniqueId val="{00000004-75AC-49C3-85B2-3547336FD174}"/>
              </c:ext>
            </c:extLst>
          </c:dPt>
          <c:dLbls>
            <c:dLbl>
              <c:idx val="0"/>
              <c:layout>
                <c:manualLayout>
                  <c:x val="0.52502405949256348"/>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5AC-49C3-85B2-3547336FD174}"/>
                </c:ext>
              </c:extLst>
            </c:dLbl>
            <c:dLbl>
              <c:idx val="1"/>
              <c:layout>
                <c:manualLayout>
                  <c:x val="0.46757108486439186"/>
                  <c:y val="-4.629629629629629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5AC-49C3-85B2-3547336FD174}"/>
                </c:ext>
              </c:extLst>
            </c:dLbl>
            <c:dLbl>
              <c:idx val="2"/>
              <c:layout>
                <c:manualLayout>
                  <c:x val="0.45498840769903753"/>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5AC-49C3-85B2-3547336FD174}"/>
                </c:ext>
              </c:extLst>
            </c:dLbl>
            <c:dLbl>
              <c:idx val="3"/>
              <c:layout>
                <c:manualLayout>
                  <c:x val="0.44936176727909"/>
                  <c:y val="4.629629629629544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5AC-49C3-85B2-3547336FD174}"/>
                </c:ext>
              </c:extLst>
            </c:dLbl>
            <c:dLbl>
              <c:idx val="4"/>
              <c:layout>
                <c:manualLayout>
                  <c:x val="0.40665179352580916"/>
                  <c:y val="-4.2437781360066642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5AC-49C3-85B2-3547336FD174}"/>
                </c:ext>
              </c:extLst>
            </c:dLbl>
            <c:dLbl>
              <c:idx val="5"/>
              <c:layout>
                <c:manualLayout>
                  <c:x val="0.38141535433070878"/>
                  <c:y val="9.2592592592592171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5AC-49C3-85B2-3547336FD17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Classeoom_Associates_Workload!$A$4:$A$10</c:f>
              <c:strCache>
                <c:ptCount val="6"/>
                <c:pt idx="0">
                  <c:v>Gleaves</c:v>
                </c:pt>
                <c:pt idx="1">
                  <c:v>Yarbrough</c:v>
                </c:pt>
                <c:pt idx="2">
                  <c:v>Jones</c:v>
                </c:pt>
                <c:pt idx="3">
                  <c:v>Hindieh</c:v>
                </c:pt>
                <c:pt idx="4">
                  <c:v>Payne</c:v>
                </c:pt>
                <c:pt idx="5">
                  <c:v>Ullah</c:v>
                </c:pt>
              </c:strCache>
            </c:strRef>
          </c:cat>
          <c:val>
            <c:numRef>
              <c:f>Classeoom_Associates_Workload!$B$4:$B$10</c:f>
              <c:numCache>
                <c:formatCode>General</c:formatCode>
                <c:ptCount val="6"/>
                <c:pt idx="0">
                  <c:v>306</c:v>
                </c:pt>
                <c:pt idx="1">
                  <c:v>392</c:v>
                </c:pt>
                <c:pt idx="2">
                  <c:v>406</c:v>
                </c:pt>
                <c:pt idx="3">
                  <c:v>418</c:v>
                </c:pt>
                <c:pt idx="4">
                  <c:v>477</c:v>
                </c:pt>
                <c:pt idx="5">
                  <c:v>517</c:v>
                </c:pt>
              </c:numCache>
            </c:numRef>
          </c:val>
          <c:extLst>
            <c:ext xmlns:c16="http://schemas.microsoft.com/office/drawing/2014/chart" uri="{C3380CC4-5D6E-409C-BE32-E72D297353CC}">
              <c16:uniqueId val="{00000000-75AC-49C3-85B2-3547336FD174}"/>
            </c:ext>
          </c:extLst>
        </c:ser>
        <c:ser>
          <c:idx val="1"/>
          <c:order val="1"/>
          <c:tx>
            <c:strRef>
              <c:f>Classeoom_Associates_Workload!$C$3</c:f>
              <c:strCache>
                <c:ptCount val="1"/>
                <c:pt idx="0">
                  <c:v>Remainder </c:v>
                </c:pt>
              </c:strCache>
            </c:strRef>
          </c:tx>
          <c:spPr>
            <a:solidFill>
              <a:srgbClr val="EAF3DE"/>
            </a:solidFill>
            <a:ln>
              <a:noFill/>
            </a:ln>
            <a:effectLst/>
          </c:spPr>
          <c:invertIfNegative val="0"/>
          <c:cat>
            <c:strRef>
              <c:f>Classeoom_Associates_Workload!$A$4:$A$10</c:f>
              <c:strCache>
                <c:ptCount val="6"/>
                <c:pt idx="0">
                  <c:v>Gleaves</c:v>
                </c:pt>
                <c:pt idx="1">
                  <c:v>Yarbrough</c:v>
                </c:pt>
                <c:pt idx="2">
                  <c:v>Jones</c:v>
                </c:pt>
                <c:pt idx="3">
                  <c:v>Hindieh</c:v>
                </c:pt>
                <c:pt idx="4">
                  <c:v>Payne</c:v>
                </c:pt>
                <c:pt idx="5">
                  <c:v>Ullah</c:v>
                </c:pt>
              </c:strCache>
            </c:strRef>
          </c:cat>
          <c:val>
            <c:numRef>
              <c:f>Classeoom_Associates_Workload!$C$4:$C$10</c:f>
              <c:numCache>
                <c:formatCode>General</c:formatCode>
                <c:ptCount val="6"/>
                <c:pt idx="0">
                  <c:v>211</c:v>
                </c:pt>
                <c:pt idx="1">
                  <c:v>125</c:v>
                </c:pt>
                <c:pt idx="2">
                  <c:v>111</c:v>
                </c:pt>
                <c:pt idx="3">
                  <c:v>99</c:v>
                </c:pt>
                <c:pt idx="4">
                  <c:v>40</c:v>
                </c:pt>
                <c:pt idx="5">
                  <c:v>0</c:v>
                </c:pt>
              </c:numCache>
            </c:numRef>
          </c:val>
          <c:extLst>
            <c:ext xmlns:c16="http://schemas.microsoft.com/office/drawing/2014/chart" uri="{C3380CC4-5D6E-409C-BE32-E72D297353CC}">
              <c16:uniqueId val="{00000001-75AC-49C3-85B2-3547336FD174}"/>
            </c:ext>
          </c:extLst>
        </c:ser>
        <c:dLbls>
          <c:showLegendKey val="0"/>
          <c:showVal val="0"/>
          <c:showCatName val="0"/>
          <c:showSerName val="0"/>
          <c:showPercent val="0"/>
          <c:showBubbleSize val="0"/>
        </c:dLbls>
        <c:gapWidth val="150"/>
        <c:overlap val="100"/>
        <c:axId val="1605410560"/>
        <c:axId val="1605406240"/>
      </c:barChart>
      <c:catAx>
        <c:axId val="16054105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5406240"/>
        <c:crosses val="autoZero"/>
        <c:auto val="1"/>
        <c:lblAlgn val="ctr"/>
        <c:lblOffset val="100"/>
        <c:noMultiLvlLbl val="0"/>
      </c:catAx>
      <c:valAx>
        <c:axId val="1605406240"/>
        <c:scaling>
          <c:orientation val="minMax"/>
        </c:scaling>
        <c:delete val="1"/>
        <c:axPos val="b"/>
        <c:numFmt formatCode="General" sourceLinked="1"/>
        <c:majorTickMark val="none"/>
        <c:minorTickMark val="none"/>
        <c:tickLblPos val="nextTo"/>
        <c:crossAx val="1605410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[GHS Class Coverage Analysis.xlsx]Outside Sub Coverage!Outside_Sub_Coverage</c:name>
    <c:fmtId val="0"/>
  </c:pivotSource>
  <c:chart>
    <c:title>
      <c:tx>
        <c:rich>
          <a:bodyPr rot="0" spcFirstLastPara="1" vertOverflow="ellipsis" vert="horz" wrap="square" anchor="ctr" anchorCtr="1"/>
          <a:lstStyle/>
          <a:p>
            <a:pPr>
              <a:defRPr lang="en-US" sz="1200" b="0" i="0" u="none" strike="noStrike" kern="1200" spc="0" baseline="0">
                <a:solidFill>
                  <a:schemeClr val="accent6">
                    <a:lumMod val="75000"/>
                  </a:schemeClr>
                </a:solidFill>
                <a:latin typeface="+mn-lt"/>
                <a:ea typeface="+mn-ea"/>
                <a:cs typeface="+mn-cs"/>
              </a:defRPr>
            </a:pPr>
            <a:r>
              <a:rPr lang="en-US" sz="1400">
                <a:solidFill>
                  <a:schemeClr val="accent6">
                    <a:lumMod val="75000"/>
                  </a:schemeClr>
                </a:solidFill>
              </a:rPr>
              <a:t>Periods</a:t>
            </a:r>
            <a:r>
              <a:rPr lang="en-US" sz="1400" baseline="0">
                <a:solidFill>
                  <a:schemeClr val="accent6">
                    <a:lumMod val="75000"/>
                  </a:schemeClr>
                </a:solidFill>
              </a:rPr>
              <a:t> Covered By Outside Subs</a:t>
            </a:r>
            <a:endParaRPr lang="en-US" sz="1400">
              <a:solidFill>
                <a:schemeClr val="accent6">
                  <a:lumMod val="75000"/>
                </a:schemeClr>
              </a:solidFill>
            </a:endParaRPr>
          </a:p>
        </c:rich>
      </c:tx>
      <c:layout>
        <c:manualLayout>
          <c:xMode val="edge"/>
          <c:yMode val="edge"/>
          <c:x val="1.880843996062994E-2"/>
          <c:y val="1.3888888888888888E-2"/>
        </c:manualLayout>
      </c:layout>
      <c:overlay val="0"/>
      <c:spPr>
        <a:noFill/>
        <a:ln>
          <a:noFill/>
        </a:ln>
        <a:effectLst/>
      </c:spPr>
      <c:txPr>
        <a:bodyPr rot="0" spcFirstLastPara="1" vertOverflow="ellipsis" vert="horz" wrap="square" anchor="ctr" anchorCtr="1"/>
        <a:lstStyle/>
        <a:p>
          <a:pPr>
            <a:defRPr lang="en-US" sz="1200" b="0" i="0" u="none" strike="noStrike" kern="1200" spc="0" baseline="0">
              <a:solidFill>
                <a:schemeClr val="accent6">
                  <a:lumMod val="75000"/>
                </a:schemeClr>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overflow" horzOverflow="overflow" vert="horz" wrap="square" anchor="t" anchorCtr="0">
              <a:spAutoFit/>
            </a:bodyPr>
            <a:lstStyle/>
            <a:p>
              <a:pPr>
                <a:defRPr lang="en-US" sz="1000" b="0" i="0" u="none" strike="noStrike" kern="1200" baseline="0">
                  <a:solidFill>
                    <a:schemeClr val="accent6">
                      <a:lumMod val="5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EAF3D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dLbl>
          <c:idx val="0"/>
          <c:layout>
            <c:manualLayout>
              <c:x val="0.61074557086614178"/>
              <c:y val="3.472222222222222E-3"/>
            </c:manualLayout>
          </c:layout>
          <c:spPr>
            <a:noFill/>
            <a:ln>
              <a:noFill/>
            </a:ln>
            <a:effectLst/>
          </c:spPr>
          <c:txPr>
            <a:bodyPr rot="0" spcFirstLastPara="1" vertOverflow="overflow" horzOverflow="overflow" vert="horz" wrap="square" anchor="t" anchorCtr="0">
              <a:spAutoFit/>
            </a:bodyPr>
            <a:lstStyle/>
            <a:p>
              <a:pPr>
                <a:defRPr lang="en-US" sz="1000" b="0" i="0" u="none" strike="noStrike" kern="1200" baseline="0">
                  <a:solidFill>
                    <a:schemeClr val="accent6">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dLbl>
          <c:idx val="0"/>
          <c:layout>
            <c:manualLayout>
              <c:x val="0.39465100065616798"/>
              <c:y val="3.4722222222221904E-3"/>
            </c:manualLayout>
          </c:layout>
          <c:spPr>
            <a:noFill/>
            <a:ln>
              <a:noFill/>
            </a:ln>
            <a:effectLst/>
          </c:spPr>
          <c:txPr>
            <a:bodyPr rot="0" spcFirstLastPara="1" vertOverflow="overflow" horzOverflow="overflow" vert="horz" wrap="square" anchor="t" anchorCtr="0">
              <a:spAutoFit/>
            </a:bodyPr>
            <a:lstStyle/>
            <a:p>
              <a:pPr>
                <a:defRPr lang="en-US" sz="1000" b="0" i="0" u="none" strike="noStrike" kern="1200" baseline="0">
                  <a:solidFill>
                    <a:schemeClr val="accent6">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dLbl>
          <c:idx val="0"/>
          <c:layout>
            <c:manualLayout>
              <c:x val="0.61074557086614178"/>
              <c:y val="3.472222222222222E-3"/>
            </c:manualLayout>
          </c:layout>
          <c:spPr>
            <a:noFill/>
            <a:ln>
              <a:noFill/>
            </a:ln>
            <a:effectLst/>
          </c:spPr>
          <c:txPr>
            <a:bodyPr rot="0" spcFirstLastPara="1" vertOverflow="overflow" horzOverflow="overflow" vert="horz" wrap="square" anchor="t" anchorCtr="0">
              <a:spAutoFit/>
            </a:bodyPr>
            <a:lstStyle/>
            <a:p>
              <a:pPr>
                <a:defRPr lang="en-US" sz="1000" b="0" i="0" u="none" strike="noStrike" kern="1200" baseline="0">
                  <a:solidFill>
                    <a:schemeClr val="accent6">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dLbl>
          <c:idx val="0"/>
          <c:layout>
            <c:manualLayout>
              <c:x val="0.51456713418635147"/>
              <c:y val="3.472222222222222E-3"/>
            </c:manualLayout>
          </c:layout>
          <c:spPr>
            <a:noFill/>
            <a:ln>
              <a:noFill/>
            </a:ln>
            <a:effectLst/>
          </c:spPr>
          <c:txPr>
            <a:bodyPr rot="0" spcFirstLastPara="1" vertOverflow="overflow" horzOverflow="overflow" vert="horz" wrap="square" anchor="t" anchorCtr="0">
              <a:spAutoFit/>
            </a:bodyPr>
            <a:lstStyle/>
            <a:p>
              <a:pPr>
                <a:defRPr lang="en-US" sz="1000" b="0" i="0" u="none" strike="noStrike" kern="1200" baseline="0">
                  <a:solidFill>
                    <a:schemeClr val="accent6">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dLbl>
          <c:idx val="0"/>
          <c:layout>
            <c:manualLayout>
              <c:x val="0.51456713418635147"/>
              <c:y val="3.472222222222222E-3"/>
            </c:manualLayout>
          </c:layout>
          <c:spPr>
            <a:noFill/>
            <a:ln>
              <a:noFill/>
            </a:ln>
            <a:effectLst/>
          </c:spPr>
          <c:txPr>
            <a:bodyPr rot="0" spcFirstLastPara="1" vertOverflow="overflow" horzOverflow="overflow" vert="horz" wrap="square" anchor="t" anchorCtr="0">
              <a:spAutoFit/>
            </a:bodyPr>
            <a:lstStyle/>
            <a:p>
              <a:pPr>
                <a:defRPr lang="en-US" sz="1000" b="0" i="0" u="none" strike="noStrike" kern="1200" baseline="0">
                  <a:solidFill>
                    <a:schemeClr val="accent6">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a:noFill/>
          </a:ln>
          <a:effectLst/>
        </c:spPr>
        <c:dLbl>
          <c:idx val="0"/>
          <c:layout>
            <c:manualLayout>
              <c:x val="0.61074557086614178"/>
              <c:y val="3.472222222222222E-3"/>
            </c:manualLayout>
          </c:layout>
          <c:spPr>
            <a:noFill/>
            <a:ln>
              <a:noFill/>
            </a:ln>
            <a:effectLst/>
          </c:spPr>
          <c:txPr>
            <a:bodyPr rot="0" spcFirstLastPara="1" vertOverflow="overflow" horzOverflow="overflow" vert="horz" wrap="square" anchor="t" anchorCtr="0">
              <a:spAutoFit/>
            </a:bodyPr>
            <a:lstStyle/>
            <a:p>
              <a:pPr>
                <a:defRPr lang="en-US" sz="1000" b="0" i="0" u="none" strike="noStrike" kern="1200" baseline="0">
                  <a:solidFill>
                    <a:schemeClr val="accent6">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a:noFill/>
          </a:ln>
          <a:effectLst/>
        </c:spPr>
        <c:dLbl>
          <c:idx val="0"/>
          <c:layout>
            <c:manualLayout>
              <c:x val="0.61074557086614178"/>
              <c:y val="3.472222222222222E-3"/>
            </c:manualLayout>
          </c:layout>
          <c:spPr>
            <a:noFill/>
            <a:ln>
              <a:noFill/>
            </a:ln>
            <a:effectLst/>
          </c:spPr>
          <c:txPr>
            <a:bodyPr rot="0" spcFirstLastPara="1" vertOverflow="overflow" horzOverflow="overflow" vert="horz" wrap="square" anchor="t" anchorCtr="0">
              <a:spAutoFit/>
            </a:bodyPr>
            <a:lstStyle/>
            <a:p>
              <a:pPr>
                <a:defRPr lang="en-US" sz="1000" b="0" i="0" u="none" strike="noStrike" kern="1200" baseline="0">
                  <a:solidFill>
                    <a:schemeClr val="accent6">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75000"/>
            </a:schemeClr>
          </a:solidFill>
          <a:ln>
            <a:noFill/>
          </a:ln>
          <a:effectLst/>
        </c:spPr>
        <c:dLbl>
          <c:idx val="0"/>
          <c:layout>
            <c:manualLayout>
              <c:x val="0.61074557086614178"/>
              <c:y val="3.472222222222222E-3"/>
            </c:manualLayout>
          </c:layout>
          <c:spPr>
            <a:noFill/>
            <a:ln>
              <a:noFill/>
            </a:ln>
            <a:effectLst/>
          </c:spPr>
          <c:txPr>
            <a:bodyPr rot="0" spcFirstLastPara="1" vertOverflow="overflow" horzOverflow="overflow" vert="horz" wrap="square" anchor="t" anchorCtr="0">
              <a:spAutoFit/>
            </a:bodyPr>
            <a:lstStyle/>
            <a:p>
              <a:pPr>
                <a:defRPr lang="en-US" sz="1000" b="0" i="0" u="none" strike="noStrike" kern="1200" baseline="0">
                  <a:solidFill>
                    <a:schemeClr val="accent6">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lumMod val="75000"/>
            </a:schemeClr>
          </a:solidFill>
          <a:ln>
            <a:noFill/>
          </a:ln>
          <a:effectLst/>
        </c:spPr>
        <c:dLbl>
          <c:idx val="0"/>
          <c:layout>
            <c:manualLayout>
              <c:x val="0.51456713418635147"/>
              <c:y val="3.472222222222222E-3"/>
            </c:manualLayout>
          </c:layout>
          <c:spPr>
            <a:noFill/>
            <a:ln>
              <a:noFill/>
            </a:ln>
            <a:effectLst/>
          </c:spPr>
          <c:txPr>
            <a:bodyPr rot="0" spcFirstLastPara="1" vertOverflow="overflow" horzOverflow="overflow" vert="horz" wrap="square" anchor="t" anchorCtr="0">
              <a:spAutoFit/>
            </a:bodyPr>
            <a:lstStyle/>
            <a:p>
              <a:pPr>
                <a:defRPr lang="en-US" sz="1000" b="0" i="0" u="none" strike="noStrike" kern="1200" baseline="0">
                  <a:solidFill>
                    <a:schemeClr val="accent6">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481439820022498"/>
          <c:y val="0.11805555555555555"/>
          <c:w val="0.77223917322834645"/>
          <c:h val="0.8331668307086616"/>
        </c:manualLayout>
      </c:layout>
      <c:barChart>
        <c:barDir val="bar"/>
        <c:grouping val="stacked"/>
        <c:varyColors val="0"/>
        <c:ser>
          <c:idx val="0"/>
          <c:order val="0"/>
          <c:tx>
            <c:strRef>
              <c:f>'Outside Sub Coverage'!$B$3</c:f>
              <c:strCache>
                <c:ptCount val="1"/>
                <c:pt idx="0">
                  <c:v>Periods Covered </c:v>
                </c:pt>
              </c:strCache>
            </c:strRef>
          </c:tx>
          <c:spPr>
            <a:solidFill>
              <a:schemeClr val="accent6">
                <a:lumMod val="75000"/>
              </a:schemeClr>
            </a:solidFill>
            <a:ln>
              <a:noFill/>
            </a:ln>
            <a:effectLst/>
          </c:spPr>
          <c:invertIfNegative val="0"/>
          <c:dPt>
            <c:idx val="0"/>
            <c:invertIfNegative val="0"/>
            <c:bubble3D val="0"/>
            <c:extLst>
              <c:ext xmlns:c16="http://schemas.microsoft.com/office/drawing/2014/chart" uri="{C3380CC4-5D6E-409C-BE32-E72D297353CC}">
                <c16:uniqueId val="{0000000B-68F5-4CEF-9702-9B4E85C9D90E}"/>
              </c:ext>
            </c:extLst>
          </c:dPt>
          <c:dPt>
            <c:idx val="1"/>
            <c:invertIfNegative val="0"/>
            <c:bubble3D val="0"/>
            <c:extLst>
              <c:ext xmlns:c16="http://schemas.microsoft.com/office/drawing/2014/chart" uri="{C3380CC4-5D6E-409C-BE32-E72D297353CC}">
                <c16:uniqueId val="{0000000A-68F5-4CEF-9702-9B4E85C9D90E}"/>
              </c:ext>
            </c:extLst>
          </c:dPt>
          <c:dPt>
            <c:idx val="2"/>
            <c:invertIfNegative val="0"/>
            <c:bubble3D val="0"/>
            <c:extLst>
              <c:ext xmlns:c16="http://schemas.microsoft.com/office/drawing/2014/chart" uri="{C3380CC4-5D6E-409C-BE32-E72D297353CC}">
                <c16:uniqueId val="{00000009-68F5-4CEF-9702-9B4E85C9D90E}"/>
              </c:ext>
            </c:extLst>
          </c:dPt>
          <c:dPt>
            <c:idx val="3"/>
            <c:invertIfNegative val="0"/>
            <c:bubble3D val="0"/>
            <c:extLst>
              <c:ext xmlns:c16="http://schemas.microsoft.com/office/drawing/2014/chart" uri="{C3380CC4-5D6E-409C-BE32-E72D297353CC}">
                <c16:uniqueId val="{00000008-68F5-4CEF-9702-9B4E85C9D90E}"/>
              </c:ext>
            </c:extLst>
          </c:dPt>
          <c:dPt>
            <c:idx val="4"/>
            <c:invertIfNegative val="0"/>
            <c:bubble3D val="0"/>
            <c:extLst>
              <c:ext xmlns:c16="http://schemas.microsoft.com/office/drawing/2014/chart" uri="{C3380CC4-5D6E-409C-BE32-E72D297353CC}">
                <c16:uniqueId val="{00000007-68F5-4CEF-9702-9B4E85C9D90E}"/>
              </c:ext>
            </c:extLst>
          </c:dPt>
          <c:dPt>
            <c:idx val="5"/>
            <c:invertIfNegative val="0"/>
            <c:bubble3D val="0"/>
            <c:extLst>
              <c:ext xmlns:c16="http://schemas.microsoft.com/office/drawing/2014/chart" uri="{C3380CC4-5D6E-409C-BE32-E72D297353CC}">
                <c16:uniqueId val="{00000006-68F5-4CEF-9702-9B4E85C9D90E}"/>
              </c:ext>
            </c:extLst>
          </c:dPt>
          <c:dPt>
            <c:idx val="6"/>
            <c:invertIfNegative val="0"/>
            <c:bubble3D val="0"/>
            <c:extLst>
              <c:ext xmlns:c16="http://schemas.microsoft.com/office/drawing/2014/chart" uri="{C3380CC4-5D6E-409C-BE32-E72D297353CC}">
                <c16:uniqueId val="{00000005-68F5-4CEF-9702-9B4E85C9D90E}"/>
              </c:ext>
            </c:extLst>
          </c:dPt>
          <c:dPt>
            <c:idx val="7"/>
            <c:invertIfNegative val="0"/>
            <c:bubble3D val="0"/>
            <c:extLst>
              <c:ext xmlns:c16="http://schemas.microsoft.com/office/drawing/2014/chart" uri="{C3380CC4-5D6E-409C-BE32-E72D297353CC}">
                <c16:uniqueId val="{00000004-68F5-4CEF-9702-9B4E85C9D90E}"/>
              </c:ext>
            </c:extLst>
          </c:dPt>
          <c:dPt>
            <c:idx val="8"/>
            <c:invertIfNegative val="0"/>
            <c:bubble3D val="0"/>
            <c:extLst>
              <c:ext xmlns:c16="http://schemas.microsoft.com/office/drawing/2014/chart" uri="{C3380CC4-5D6E-409C-BE32-E72D297353CC}">
                <c16:uniqueId val="{00000003-68F5-4CEF-9702-9B4E85C9D90E}"/>
              </c:ext>
            </c:extLst>
          </c:dPt>
          <c:dLbls>
            <c:dLbl>
              <c:idx val="0"/>
              <c:layout>
                <c:manualLayout>
                  <c:x val="0.51456713418635147"/>
                  <c:y val="3.472222222222222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8F5-4CEF-9702-9B4E85C9D90E}"/>
                </c:ext>
              </c:extLst>
            </c:dLbl>
            <c:dLbl>
              <c:idx val="1"/>
              <c:layout>
                <c:manualLayout>
                  <c:x val="0.61074557086614178"/>
                  <c:y val="3.472222222222222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8F5-4CEF-9702-9B4E85C9D90E}"/>
                </c:ext>
              </c:extLst>
            </c:dLbl>
            <c:dLbl>
              <c:idx val="2"/>
              <c:layout>
                <c:manualLayout>
                  <c:x val="0.61074557086614178"/>
                  <c:y val="3.472222222222222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8F5-4CEF-9702-9B4E85C9D90E}"/>
                </c:ext>
              </c:extLst>
            </c:dLbl>
            <c:dLbl>
              <c:idx val="3"/>
              <c:layout>
                <c:manualLayout>
                  <c:x val="0.61074557086614178"/>
                  <c:y val="3.472222222222222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8F5-4CEF-9702-9B4E85C9D90E}"/>
                </c:ext>
              </c:extLst>
            </c:dLbl>
            <c:dLbl>
              <c:idx val="4"/>
              <c:layout>
                <c:manualLayout>
                  <c:x val="0.51456713418635147"/>
                  <c:y val="3.472222222222222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8F5-4CEF-9702-9B4E85C9D90E}"/>
                </c:ext>
              </c:extLst>
            </c:dLbl>
            <c:dLbl>
              <c:idx val="5"/>
              <c:layout>
                <c:manualLayout>
                  <c:x val="0.51456713418635147"/>
                  <c:y val="3.472222222222222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8F5-4CEF-9702-9B4E85C9D90E}"/>
                </c:ext>
              </c:extLst>
            </c:dLbl>
            <c:dLbl>
              <c:idx val="6"/>
              <c:layout>
                <c:manualLayout>
                  <c:x val="0.61074557086614178"/>
                  <c:y val="3.472222222222222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8F5-4CEF-9702-9B4E85C9D90E}"/>
                </c:ext>
              </c:extLst>
            </c:dLbl>
            <c:dLbl>
              <c:idx val="7"/>
              <c:layout>
                <c:manualLayout>
                  <c:x val="0.39465100065616798"/>
                  <c:y val="3.472222222222190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8F5-4CEF-9702-9B4E85C9D90E}"/>
                </c:ext>
              </c:extLst>
            </c:dLbl>
            <c:dLbl>
              <c:idx val="8"/>
              <c:layout>
                <c:manualLayout>
                  <c:x val="0.61074557086614178"/>
                  <c:y val="3.472222222222222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8F5-4CEF-9702-9B4E85C9D90E}"/>
                </c:ext>
              </c:extLst>
            </c:dLbl>
            <c:spPr>
              <a:noFill/>
              <a:ln>
                <a:noFill/>
              </a:ln>
              <a:effectLst/>
            </c:spPr>
            <c:txPr>
              <a:bodyPr rot="0" spcFirstLastPara="1" vertOverflow="overflow" horzOverflow="overflow" vert="horz" wrap="square" anchor="t" anchorCtr="0">
                <a:spAutoFit/>
              </a:bodyPr>
              <a:lstStyle/>
              <a:p>
                <a:pPr>
                  <a:defRPr lang="en-US" sz="1000" b="0" i="0" u="none" strike="noStrike" kern="1200" baseline="0">
                    <a:solidFill>
                      <a:schemeClr val="accent6">
                        <a:lumMod val="50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'Outside Sub Coverage'!$A$4:$A$13</c:f>
              <c:strCache>
                <c:ptCount val="9"/>
                <c:pt idx="0">
                  <c:v>Hamadani</c:v>
                </c:pt>
                <c:pt idx="1">
                  <c:v>Rita</c:v>
                </c:pt>
                <c:pt idx="2">
                  <c:v>Palmer</c:v>
                </c:pt>
                <c:pt idx="3">
                  <c:v>Rhodes</c:v>
                </c:pt>
                <c:pt idx="4">
                  <c:v>Henley</c:v>
                </c:pt>
                <c:pt idx="5">
                  <c:v>Williamson</c:v>
                </c:pt>
                <c:pt idx="6">
                  <c:v>Eaton</c:v>
                </c:pt>
                <c:pt idx="7">
                  <c:v>Epps</c:v>
                </c:pt>
                <c:pt idx="8">
                  <c:v>Arrighi</c:v>
                </c:pt>
              </c:strCache>
            </c:strRef>
          </c:cat>
          <c:val>
            <c:numRef>
              <c:f>'Outside Sub Coverage'!$B$4:$B$13</c:f>
              <c:numCache>
                <c:formatCode>General</c:formatCode>
                <c:ptCount val="9"/>
                <c:pt idx="0">
                  <c:v>13</c:v>
                </c:pt>
                <c:pt idx="1">
                  <c:v>13</c:v>
                </c:pt>
                <c:pt idx="2">
                  <c:v>14</c:v>
                </c:pt>
                <c:pt idx="3">
                  <c:v>24</c:v>
                </c:pt>
                <c:pt idx="4">
                  <c:v>29</c:v>
                </c:pt>
                <c:pt idx="5">
                  <c:v>33</c:v>
                </c:pt>
                <c:pt idx="6">
                  <c:v>35</c:v>
                </c:pt>
                <c:pt idx="7">
                  <c:v>48</c:v>
                </c:pt>
                <c:pt idx="8">
                  <c:v>53</c:v>
                </c:pt>
              </c:numCache>
            </c:numRef>
          </c:val>
          <c:extLst>
            <c:ext xmlns:c16="http://schemas.microsoft.com/office/drawing/2014/chart" uri="{C3380CC4-5D6E-409C-BE32-E72D297353CC}">
              <c16:uniqueId val="{00000000-68F5-4CEF-9702-9B4E85C9D90E}"/>
            </c:ext>
          </c:extLst>
        </c:ser>
        <c:ser>
          <c:idx val="1"/>
          <c:order val="1"/>
          <c:tx>
            <c:strRef>
              <c:f>'Outside Sub Coverage'!$C$3</c:f>
              <c:strCache>
                <c:ptCount val="1"/>
                <c:pt idx="0">
                  <c:v>Sum of Field1</c:v>
                </c:pt>
              </c:strCache>
            </c:strRef>
          </c:tx>
          <c:spPr>
            <a:solidFill>
              <a:srgbClr val="EAF3DE"/>
            </a:solidFill>
            <a:ln>
              <a:noFill/>
            </a:ln>
            <a:effectLst/>
          </c:spPr>
          <c:invertIfNegative val="0"/>
          <c:cat>
            <c:strRef>
              <c:f>'Outside Sub Coverage'!$A$4:$A$13</c:f>
              <c:strCache>
                <c:ptCount val="9"/>
                <c:pt idx="0">
                  <c:v>Hamadani</c:v>
                </c:pt>
                <c:pt idx="1">
                  <c:v>Rita</c:v>
                </c:pt>
                <c:pt idx="2">
                  <c:v>Palmer</c:v>
                </c:pt>
                <c:pt idx="3">
                  <c:v>Rhodes</c:v>
                </c:pt>
                <c:pt idx="4">
                  <c:v>Henley</c:v>
                </c:pt>
                <c:pt idx="5">
                  <c:v>Williamson</c:v>
                </c:pt>
                <c:pt idx="6">
                  <c:v>Eaton</c:v>
                </c:pt>
                <c:pt idx="7">
                  <c:v>Epps</c:v>
                </c:pt>
                <c:pt idx="8">
                  <c:v>Arrighi</c:v>
                </c:pt>
              </c:strCache>
            </c:strRef>
          </c:cat>
          <c:val>
            <c:numRef>
              <c:f>'Outside Sub Coverage'!$C$4:$C$13</c:f>
              <c:numCache>
                <c:formatCode>General</c:formatCode>
                <c:ptCount val="9"/>
                <c:pt idx="0">
                  <c:v>40</c:v>
                </c:pt>
                <c:pt idx="1">
                  <c:v>40</c:v>
                </c:pt>
                <c:pt idx="2">
                  <c:v>39</c:v>
                </c:pt>
                <c:pt idx="3">
                  <c:v>29</c:v>
                </c:pt>
                <c:pt idx="4">
                  <c:v>24</c:v>
                </c:pt>
                <c:pt idx="5">
                  <c:v>20</c:v>
                </c:pt>
                <c:pt idx="6">
                  <c:v>18</c:v>
                </c:pt>
                <c:pt idx="7">
                  <c:v>5</c:v>
                </c:pt>
                <c:pt idx="8">
                  <c:v>0</c:v>
                </c:pt>
              </c:numCache>
            </c:numRef>
          </c:val>
          <c:extLst>
            <c:ext xmlns:c16="http://schemas.microsoft.com/office/drawing/2014/chart" uri="{C3380CC4-5D6E-409C-BE32-E72D297353CC}">
              <c16:uniqueId val="{00000001-68F5-4CEF-9702-9B4E85C9D90E}"/>
            </c:ext>
          </c:extLst>
        </c:ser>
        <c:dLbls>
          <c:showLegendKey val="0"/>
          <c:showVal val="0"/>
          <c:showCatName val="0"/>
          <c:showSerName val="0"/>
          <c:showPercent val="0"/>
          <c:showBubbleSize val="0"/>
        </c:dLbls>
        <c:gapWidth val="150"/>
        <c:overlap val="100"/>
        <c:axId val="610831344"/>
        <c:axId val="610828464"/>
      </c:barChart>
      <c:catAx>
        <c:axId val="610831344"/>
        <c:scaling>
          <c:orientation val="minMax"/>
        </c:scaling>
        <c:delete val="0"/>
        <c:axPos val="l"/>
        <c:numFmt formatCode="General" sourceLinked="1"/>
        <c:majorTickMark val="none"/>
        <c:minorTickMark val="none"/>
        <c:tickLblPos val="nextTo"/>
        <c:spPr>
          <a:solidFill>
            <a:schemeClr val="bg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accent6">
                    <a:lumMod val="50000"/>
                  </a:schemeClr>
                </a:solidFill>
                <a:latin typeface="+mn-lt"/>
                <a:ea typeface="+mn-ea"/>
                <a:cs typeface="+mn-cs"/>
              </a:defRPr>
            </a:pPr>
            <a:endParaRPr lang="en-US"/>
          </a:p>
        </c:txPr>
        <c:crossAx val="610828464"/>
        <c:crosses val="autoZero"/>
        <c:auto val="1"/>
        <c:lblAlgn val="ctr"/>
        <c:lblOffset val="100"/>
        <c:noMultiLvlLbl val="0"/>
      </c:catAx>
      <c:valAx>
        <c:axId val="610828464"/>
        <c:scaling>
          <c:orientation val="minMax"/>
        </c:scaling>
        <c:delete val="1"/>
        <c:axPos val="b"/>
        <c:numFmt formatCode="General" sourceLinked="1"/>
        <c:majorTickMark val="none"/>
        <c:minorTickMark val="none"/>
        <c:tickLblPos val="nextTo"/>
        <c:crossAx val="610831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[GHS Class Coverage Analysis.xlsx]Most Teachers Covered!Most_Teachers_Covered</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6">
                    <a:lumMod val="50000"/>
                  </a:schemeClr>
                </a:solidFill>
              </a:rPr>
              <a:t>Top</a:t>
            </a:r>
            <a:r>
              <a:rPr lang="en-US" baseline="0">
                <a:solidFill>
                  <a:schemeClr val="accent6">
                    <a:lumMod val="50000"/>
                  </a:schemeClr>
                </a:solidFill>
              </a:rPr>
              <a:t> 10 Teachers By Coverage</a:t>
            </a:r>
            <a:endParaRPr lang="en-US">
              <a:solidFill>
                <a:schemeClr val="accent6">
                  <a:lumMod val="50000"/>
                </a:schemeClr>
              </a:solidFill>
            </a:endParaRPr>
          </a:p>
        </c:rich>
      </c:tx>
      <c:layout>
        <c:manualLayout>
          <c:xMode val="edge"/>
          <c:yMode val="edge"/>
          <c:x val="2.2887102035974331E-2"/>
          <c:y val="3.35008375209380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'Most Teachers Covered'!$B$3</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'Most Teachers Covered'!$A$4:$A$10</c:f>
              <c:strCache>
                <c:ptCount val="6"/>
                <c:pt idx="0">
                  <c:v>NSCC Prof.</c:v>
                </c:pt>
                <c:pt idx="1">
                  <c:v>Garcia</c:v>
                </c:pt>
                <c:pt idx="2">
                  <c:v>Claypool</c:v>
                </c:pt>
                <c:pt idx="3">
                  <c:v>Heath</c:v>
                </c:pt>
                <c:pt idx="4">
                  <c:v>Lyons</c:v>
                </c:pt>
                <c:pt idx="5">
                  <c:v>Coppock</c:v>
                </c:pt>
              </c:strCache>
            </c:strRef>
          </c:cat>
          <c:val>
            <c:numRef>
              <c:f>'Most Teachers Covered'!$B$4:$B$10</c:f>
              <c:numCache>
                <c:formatCode>General</c:formatCode>
                <c:ptCount val="6"/>
                <c:pt idx="0">
                  <c:v>47</c:v>
                </c:pt>
                <c:pt idx="1">
                  <c:v>25</c:v>
                </c:pt>
                <c:pt idx="2">
                  <c:v>20</c:v>
                </c:pt>
                <c:pt idx="3">
                  <c:v>19</c:v>
                </c:pt>
                <c:pt idx="4">
                  <c:v>18</c:v>
                </c:pt>
                <c:pt idx="5">
                  <c:v>17</c:v>
                </c:pt>
              </c:numCache>
            </c:numRef>
          </c:val>
          <c:extLst>
            <c:ext xmlns:c16="http://schemas.microsoft.com/office/drawing/2014/chart" uri="{C3380CC4-5D6E-409C-BE32-E72D297353CC}">
              <c16:uniqueId val="{00000000-604E-4CFD-83D8-EC3DACC0DF31}"/>
            </c:ext>
          </c:extLst>
        </c:ser>
        <c:dLbls>
          <c:dLblPos val="outEnd"/>
          <c:showLegendKey val="0"/>
          <c:showVal val="1"/>
          <c:showCatName val="0"/>
          <c:showSerName val="0"/>
          <c:showPercent val="0"/>
          <c:showBubbleSize val="0"/>
        </c:dLbls>
        <c:gapWidth val="219"/>
        <c:overlap val="-27"/>
        <c:axId val="1105626415"/>
        <c:axId val="1105625455"/>
      </c:barChart>
      <c:catAx>
        <c:axId val="11056264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1105625455"/>
        <c:crosses val="autoZero"/>
        <c:auto val="1"/>
        <c:lblAlgn val="ctr"/>
        <c:lblOffset val="100"/>
        <c:noMultiLvlLbl val="0"/>
      </c:catAx>
      <c:valAx>
        <c:axId val="1105625455"/>
        <c:scaling>
          <c:orientation val="minMax"/>
        </c:scaling>
        <c:delete val="1"/>
        <c:axPos val="l"/>
        <c:numFmt formatCode="General" sourceLinked="1"/>
        <c:majorTickMark val="none"/>
        <c:minorTickMark val="none"/>
        <c:tickLblPos val="nextTo"/>
        <c:crossAx val="1105626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[GHS Class Coverage Analysis.xlsx]Classes Coverage Trend!Class_Coverage_Trend</c:name>
    <c:fmtId val="0"/>
  </c:pivotSource>
  <c:chart>
    <c:title>
      <c:tx>
        <c:rich>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r>
              <a:rPr lang="en-US">
                <a:solidFill>
                  <a:schemeClr val="accent6">
                    <a:lumMod val="50000"/>
                  </a:schemeClr>
                </a:solidFill>
              </a:rPr>
              <a:t>Class</a:t>
            </a:r>
            <a:r>
              <a:rPr lang="en-US" baseline="0">
                <a:solidFill>
                  <a:schemeClr val="accent6">
                    <a:lumMod val="50000"/>
                  </a:schemeClr>
                </a:solidFill>
              </a:rPr>
              <a:t> Coverage Trend By Month</a:t>
            </a:r>
            <a:endParaRPr lang="en-US">
              <a:solidFill>
                <a:schemeClr val="accent6">
                  <a:lumMod val="50000"/>
                </a:schemeClr>
              </a:solidFill>
            </a:endParaRPr>
          </a:p>
        </c:rich>
      </c:tx>
      <c:layout>
        <c:manualLayout>
          <c:xMode val="edge"/>
          <c:yMode val="edge"/>
          <c:x val="2.2458223972003487E-2"/>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'Classes Coverage Trend'!$B$3</c:f>
              <c:strCache>
                <c:ptCount val="1"/>
                <c:pt idx="0">
                  <c:v>Total</c:v>
                </c:pt>
              </c:strCache>
            </c:strRef>
          </c:tx>
          <c:spPr>
            <a:ln w="28575" cap="rnd">
              <a:solidFill>
                <a:schemeClr val="accent6">
                  <a:lumMod val="75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'Classes Coverage Trend'!$A$4:$A$11</c:f>
              <c:strCache>
                <c:ptCount val="7"/>
                <c:pt idx="0">
                  <c:v>Aug</c:v>
                </c:pt>
                <c:pt idx="1">
                  <c:v>Sep</c:v>
                </c:pt>
                <c:pt idx="2">
                  <c:v>Oct</c:v>
                </c:pt>
                <c:pt idx="3">
                  <c:v>Nov</c:v>
                </c:pt>
                <c:pt idx="4">
                  <c:v>Dec</c:v>
                </c:pt>
                <c:pt idx="5">
                  <c:v>Jan</c:v>
                </c:pt>
                <c:pt idx="6">
                  <c:v>Feb</c:v>
                </c:pt>
              </c:strCache>
            </c:strRef>
          </c:cat>
          <c:val>
            <c:numRef>
              <c:f>'Classes Coverage Trend'!$B$4:$B$11</c:f>
              <c:numCache>
                <c:formatCode>General</c:formatCode>
                <c:ptCount val="7"/>
                <c:pt idx="0">
                  <c:v>98</c:v>
                </c:pt>
                <c:pt idx="1">
                  <c:v>113</c:v>
                </c:pt>
                <c:pt idx="2">
                  <c:v>83</c:v>
                </c:pt>
                <c:pt idx="3">
                  <c:v>93</c:v>
                </c:pt>
                <c:pt idx="4">
                  <c:v>61</c:v>
                </c:pt>
                <c:pt idx="5">
                  <c:v>77</c:v>
                </c:pt>
                <c:pt idx="6">
                  <c:v>122</c:v>
                </c:pt>
              </c:numCache>
            </c:numRef>
          </c:val>
          <c:smooth val="0"/>
          <c:extLst>
            <c:ext xmlns:c16="http://schemas.microsoft.com/office/drawing/2014/chart" uri="{C3380CC4-5D6E-409C-BE32-E72D297353CC}">
              <c16:uniqueId val="{00000000-5524-425C-839F-1C5801D8B5B8}"/>
            </c:ext>
          </c:extLst>
        </c:ser>
        <c:dLbls>
          <c:dLblPos val="t"/>
          <c:showLegendKey val="0"/>
          <c:showVal val="1"/>
          <c:showCatName val="0"/>
          <c:showSerName val="0"/>
          <c:showPercent val="0"/>
          <c:showBubbleSize val="0"/>
        </c:dLbls>
        <c:smooth val="0"/>
        <c:axId val="814193183"/>
        <c:axId val="814192223"/>
      </c:lineChart>
      <c:catAx>
        <c:axId val="814193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814192223"/>
        <c:crosses val="autoZero"/>
        <c:auto val="1"/>
        <c:lblAlgn val="ctr"/>
        <c:lblOffset val="100"/>
        <c:noMultiLvlLbl val="0"/>
      </c:catAx>
      <c:valAx>
        <c:axId val="814192223"/>
        <c:scaling>
          <c:orientation val="minMax"/>
        </c:scaling>
        <c:delete val="1"/>
        <c:axPos val="l"/>
        <c:numFmt formatCode="General" sourceLinked="1"/>
        <c:majorTickMark val="none"/>
        <c:minorTickMark val="none"/>
        <c:tickLblPos val="nextTo"/>
        <c:crossAx val="814193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[GHS Class Coverage Analysis.xlsx]Classes Coverage by Days!Class_Coverage_by_Day</c:name>
    <c:fmtId val="0"/>
  </c:pivotSource>
  <c:chart>
    <c:title>
      <c:tx>
        <c:rich>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r>
              <a:rPr lang="en-US">
                <a:solidFill>
                  <a:schemeClr val="accent6">
                    <a:lumMod val="50000"/>
                  </a:schemeClr>
                </a:solidFill>
              </a:rPr>
              <a:t>Classes</a:t>
            </a:r>
            <a:r>
              <a:rPr lang="en-US" baseline="0">
                <a:solidFill>
                  <a:schemeClr val="accent6">
                    <a:lumMod val="50000"/>
                  </a:schemeClr>
                </a:solidFill>
              </a:rPr>
              <a:t> Coverage By Day</a:t>
            </a:r>
          </a:p>
        </c:rich>
      </c:tx>
      <c:layout>
        <c:manualLayout>
          <c:xMode val="edge"/>
          <c:yMode val="edge"/>
          <c:x val="2.0472222222222235E-2"/>
          <c:y val="4.62962962962962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1111111111111112E-2"/>
          <c:y val="0.19900793650793655"/>
          <c:w val="0.97777777777777775"/>
          <c:h val="0.64809346748323138"/>
        </c:manualLayout>
      </c:layout>
      <c:lineChart>
        <c:grouping val="standard"/>
        <c:varyColors val="0"/>
        <c:ser>
          <c:idx val="0"/>
          <c:order val="0"/>
          <c:tx>
            <c:strRef>
              <c:f>'Classes Coverage by Days'!$B$3</c:f>
              <c:strCache>
                <c:ptCount val="1"/>
                <c:pt idx="0">
                  <c:v>Total</c:v>
                </c:pt>
              </c:strCache>
            </c:strRef>
          </c:tx>
          <c:spPr>
            <a:ln w="28575" cap="rnd">
              <a:solidFill>
                <a:schemeClr val="accent6">
                  <a:lumMod val="75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'Classes Coverage by Days'!$A$4:$A$9</c:f>
              <c:strCache>
                <c:ptCount val="5"/>
                <c:pt idx="0">
                  <c:v>Mon</c:v>
                </c:pt>
                <c:pt idx="1">
                  <c:v>Tue</c:v>
                </c:pt>
                <c:pt idx="2">
                  <c:v>Wed</c:v>
                </c:pt>
                <c:pt idx="3">
                  <c:v>Thu</c:v>
                </c:pt>
                <c:pt idx="4">
                  <c:v>Fri</c:v>
                </c:pt>
              </c:strCache>
            </c:strRef>
          </c:cat>
          <c:val>
            <c:numRef>
              <c:f>'Classes Coverage by Days'!$B$4:$B$9</c:f>
              <c:numCache>
                <c:formatCode>General</c:formatCode>
                <c:ptCount val="5"/>
                <c:pt idx="0">
                  <c:v>106</c:v>
                </c:pt>
                <c:pt idx="1">
                  <c:v>121</c:v>
                </c:pt>
                <c:pt idx="2">
                  <c:v>138</c:v>
                </c:pt>
                <c:pt idx="3">
                  <c:v>144</c:v>
                </c:pt>
                <c:pt idx="4">
                  <c:v>138</c:v>
                </c:pt>
              </c:numCache>
            </c:numRef>
          </c:val>
          <c:smooth val="0"/>
          <c:extLst>
            <c:ext xmlns:c16="http://schemas.microsoft.com/office/drawing/2014/chart" uri="{C3380CC4-5D6E-409C-BE32-E72D297353CC}">
              <c16:uniqueId val="{00000000-C97F-48BD-8F08-62C7B1DF098B}"/>
            </c:ext>
          </c:extLst>
        </c:ser>
        <c:dLbls>
          <c:dLblPos val="t"/>
          <c:showLegendKey val="0"/>
          <c:showVal val="1"/>
          <c:showCatName val="0"/>
          <c:showSerName val="0"/>
          <c:showPercent val="0"/>
          <c:showBubbleSize val="0"/>
        </c:dLbls>
        <c:smooth val="0"/>
        <c:axId val="1105624975"/>
        <c:axId val="1105621135"/>
      </c:lineChart>
      <c:catAx>
        <c:axId val="1105624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1105621135"/>
        <c:crosses val="autoZero"/>
        <c:auto val="1"/>
        <c:lblAlgn val="ctr"/>
        <c:lblOffset val="100"/>
        <c:noMultiLvlLbl val="0"/>
      </c:catAx>
      <c:valAx>
        <c:axId val="1105621135"/>
        <c:scaling>
          <c:orientation val="minMax"/>
        </c:scaling>
        <c:delete val="1"/>
        <c:axPos val="l"/>
        <c:numFmt formatCode="General" sourceLinked="1"/>
        <c:majorTickMark val="none"/>
        <c:minorTickMark val="none"/>
        <c:tickLblPos val="nextTo"/>
        <c:crossAx val="1105624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220134</xdr:colOff>
      <xdr:row>1</xdr:row>
      <xdr:rowOff>149861</xdr:rowOff>
    </xdr:from>
    <xdr:to>
      <xdr:col>23</xdr:col>
      <xdr:colOff>20320</xdr:colOff>
      <xdr:row>7</xdr:row>
      <xdr:rowOff>43181</xdr:rowOff>
    </xdr:to>
    <xdr:grpSp>
      <xdr:nvGrpSpPr>
        <xdr:cNvPr id="94" name="Group 93">
          <a:extLst>
            <a:ext uri="{FF2B5EF4-FFF2-40B4-BE49-F238E27FC236}">
              <a16:creationId xmlns:a16="http://schemas.microsoft.com/office/drawing/2014/main" id="{B07135D7-D371-7C8A-C28D-C35CAACE0E15}"/>
            </a:ext>
          </a:extLst>
        </xdr:cNvPr>
        <xdr:cNvGrpSpPr/>
      </xdr:nvGrpSpPr>
      <xdr:grpSpPr>
        <a:xfrm>
          <a:off x="220134" y="332741"/>
          <a:ext cx="13820986" cy="990600"/>
          <a:chOff x="220134" y="332741"/>
          <a:chExt cx="13820986" cy="990600"/>
        </a:xfrm>
      </xdr:grpSpPr>
      <xdr:sp macro="" textlink="">
        <xdr:nvSpPr>
          <xdr:cNvPr id="53" name="Rectangle: Rounded Corners 52">
            <a:extLst>
              <a:ext uri="{FF2B5EF4-FFF2-40B4-BE49-F238E27FC236}">
                <a16:creationId xmlns:a16="http://schemas.microsoft.com/office/drawing/2014/main" id="{D40E5B9A-B4F3-3C05-28B5-7EF389896FE9}"/>
              </a:ext>
            </a:extLst>
          </xdr:cNvPr>
          <xdr:cNvSpPr/>
        </xdr:nvSpPr>
        <xdr:spPr>
          <a:xfrm>
            <a:off x="9469120" y="332741"/>
            <a:ext cx="4572000" cy="988907"/>
          </a:xfrm>
          <a:prstGeom prst="roundRect">
            <a:avLst/>
          </a:prstGeom>
          <a:solidFill>
            <a:srgbClr val="C0DD9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050">
                <a:solidFill>
                  <a:schemeClr val="accent3">
                    <a:lumMod val="75000"/>
                  </a:schemeClr>
                </a:solidFill>
                <a:latin typeface="Arial" panose="020B0604020202020204" pitchFamily="34" charset="0"/>
                <a:ea typeface="+mn-ea"/>
                <a:cs typeface="Arial" panose="020B0604020202020204" pitchFamily="34" charset="0"/>
              </a:rPr>
              <a:t>COVERAG</a:t>
            </a:r>
            <a:r>
              <a:rPr lang="en-US" sz="1050" baseline="0">
                <a:solidFill>
                  <a:schemeClr val="accent3">
                    <a:lumMod val="75000"/>
                  </a:schemeClr>
                </a:solidFill>
                <a:latin typeface="Arial" panose="020B0604020202020204" pitchFamily="34" charset="0"/>
                <a:ea typeface="+mn-ea"/>
                <a:cs typeface="Arial" panose="020B0604020202020204" pitchFamily="34" charset="0"/>
              </a:rPr>
              <a:t>E HIGHLIGHTS</a:t>
            </a:r>
          </a:p>
        </xdr:txBody>
      </xdr:sp>
      <xdr:sp macro="" textlink="">
        <xdr:nvSpPr>
          <xdr:cNvPr id="54" name="Rectangle: Rounded Corners 53">
            <a:extLst>
              <a:ext uri="{FF2B5EF4-FFF2-40B4-BE49-F238E27FC236}">
                <a16:creationId xmlns:a16="http://schemas.microsoft.com/office/drawing/2014/main" id="{EA5491D6-A0CB-D6EE-1DEB-666A588482FE}"/>
              </a:ext>
            </a:extLst>
          </xdr:cNvPr>
          <xdr:cNvSpPr/>
        </xdr:nvSpPr>
        <xdr:spPr>
          <a:xfrm>
            <a:off x="220134" y="334434"/>
            <a:ext cx="4572000" cy="988907"/>
          </a:xfrm>
          <a:prstGeom prst="roundRect">
            <a:avLst/>
          </a:prstGeom>
          <a:solidFill>
            <a:srgbClr val="C0DD9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50">
                <a:solidFill>
                  <a:schemeClr val="accent3">
                    <a:lumMod val="75000"/>
                  </a:schemeClr>
                </a:solidFill>
                <a:latin typeface="Arial" panose="020B0604020202020204" pitchFamily="34" charset="0"/>
                <a:cs typeface="Arial" panose="020B0604020202020204" pitchFamily="34" charset="0"/>
              </a:rPr>
              <a:t>VOLUME</a:t>
            </a:r>
          </a:p>
        </xdr:txBody>
      </xdr:sp>
      <xdr:sp macro="" textlink="">
        <xdr:nvSpPr>
          <xdr:cNvPr id="55" name="Rectangle: Rounded Corners 54">
            <a:extLst>
              <a:ext uri="{FF2B5EF4-FFF2-40B4-BE49-F238E27FC236}">
                <a16:creationId xmlns:a16="http://schemas.microsoft.com/office/drawing/2014/main" id="{2B785B1A-2F51-585A-AB93-DE9C8182FB26}"/>
              </a:ext>
            </a:extLst>
          </xdr:cNvPr>
          <xdr:cNvSpPr/>
        </xdr:nvSpPr>
        <xdr:spPr>
          <a:xfrm>
            <a:off x="4848013" y="334434"/>
            <a:ext cx="4572000" cy="988907"/>
          </a:xfrm>
          <a:prstGeom prst="roundRect">
            <a:avLst/>
          </a:prstGeom>
          <a:solidFill>
            <a:srgbClr val="C0DD9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050">
                <a:solidFill>
                  <a:schemeClr val="accent3">
                    <a:lumMod val="75000"/>
                  </a:schemeClr>
                </a:solidFill>
                <a:latin typeface="Arial" panose="020B0604020202020204" pitchFamily="34" charset="0"/>
                <a:ea typeface="+mn-ea"/>
                <a:cs typeface="Arial" panose="020B0604020202020204" pitchFamily="34" charset="0"/>
              </a:rPr>
              <a:t>PEAK COVERAGE PER DAY</a:t>
            </a:r>
          </a:p>
        </xdr:txBody>
      </xdr:sp>
    </xdr:grpSp>
    <xdr:clientData/>
  </xdr:twoCellAnchor>
  <xdr:twoCellAnchor>
    <xdr:from>
      <xdr:col>0</xdr:col>
      <xdr:colOff>325966</xdr:colOff>
      <xdr:row>3</xdr:row>
      <xdr:rowOff>82021</xdr:rowOff>
    </xdr:from>
    <xdr:to>
      <xdr:col>7</xdr:col>
      <xdr:colOff>462194</xdr:colOff>
      <xdr:row>6</xdr:row>
      <xdr:rowOff>149558</xdr:rowOff>
    </xdr:to>
    <xdr:grpSp>
      <xdr:nvGrpSpPr>
        <xdr:cNvPr id="82" name="Group 81">
          <a:extLst>
            <a:ext uri="{FF2B5EF4-FFF2-40B4-BE49-F238E27FC236}">
              <a16:creationId xmlns:a16="http://schemas.microsoft.com/office/drawing/2014/main" id="{63E468A2-9C18-DF4C-71F0-DA7BBE73139C}"/>
            </a:ext>
          </a:extLst>
        </xdr:cNvPr>
        <xdr:cNvGrpSpPr/>
      </xdr:nvGrpSpPr>
      <xdr:grpSpPr>
        <a:xfrm>
          <a:off x="325966" y="630661"/>
          <a:ext cx="4403428" cy="616177"/>
          <a:chOff x="135466" y="612854"/>
          <a:chExt cx="4403428" cy="616177"/>
        </a:xfrm>
      </xdr:grpSpPr>
      <xdr:sp macro="" textlink="KPI!G5">
        <xdr:nvSpPr>
          <xdr:cNvPr id="57" name="Rectangle: Rounded Corners 56">
            <a:extLst>
              <a:ext uri="{FF2B5EF4-FFF2-40B4-BE49-F238E27FC236}">
                <a16:creationId xmlns:a16="http://schemas.microsoft.com/office/drawing/2014/main" id="{17CCCF51-7991-0CF5-36FA-421EF818535E}"/>
              </a:ext>
            </a:extLst>
          </xdr:cNvPr>
          <xdr:cNvSpPr/>
        </xdr:nvSpPr>
        <xdr:spPr>
          <a:xfrm>
            <a:off x="135466" y="612854"/>
            <a:ext cx="1444752" cy="603504"/>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3445B20D-50DB-4C1E-83C9-ED8DE791B9DB}" type="TxLink">
              <a:rPr lang="en-US" sz="2000" b="1" i="0" u="none" strike="noStrike">
                <a:solidFill>
                  <a:srgbClr val="3C7D22"/>
                </a:solidFill>
                <a:latin typeface="Aptos Narrow"/>
              </a:rPr>
              <a:pPr algn="l"/>
              <a:t>647</a:t>
            </a:fld>
            <a:endParaRPr lang="en-US" sz="2000" b="1" i="0" u="none" strike="noStrike">
              <a:solidFill>
                <a:schemeClr val="accent6">
                  <a:lumMod val="75000"/>
                </a:schemeClr>
              </a:solidFill>
              <a:latin typeface="+mn-lt"/>
            </a:endParaRPr>
          </a:p>
        </xdr:txBody>
      </xdr:sp>
      <xdr:sp macro="" textlink="KPI!E4">
        <xdr:nvSpPr>
          <xdr:cNvPr id="58" name="Rectangle: Rounded Corners 57">
            <a:extLst>
              <a:ext uri="{FF2B5EF4-FFF2-40B4-BE49-F238E27FC236}">
                <a16:creationId xmlns:a16="http://schemas.microsoft.com/office/drawing/2014/main" id="{32B49151-A196-92C0-A0C4-F6F78FD2B491}"/>
              </a:ext>
            </a:extLst>
          </xdr:cNvPr>
          <xdr:cNvSpPr/>
        </xdr:nvSpPr>
        <xdr:spPr>
          <a:xfrm>
            <a:off x="1610994" y="625527"/>
            <a:ext cx="1444752" cy="603504"/>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C295D913-1B01-4750-B178-5B03C9E38B31}" type="TxLink">
              <a:rPr lang="en-US" sz="2000" b="1" i="0" u="none" strike="noStrike">
                <a:solidFill>
                  <a:schemeClr val="accent6">
                    <a:lumMod val="75000"/>
                  </a:schemeClr>
                </a:solidFill>
                <a:latin typeface="Aptos Narrow"/>
              </a:rPr>
              <a:pPr algn="l"/>
              <a:t>2863</a:t>
            </a:fld>
            <a:endParaRPr lang="en-US" sz="2000" b="1">
              <a:solidFill>
                <a:schemeClr val="accent6">
                  <a:lumMod val="75000"/>
                </a:schemeClr>
              </a:solidFill>
            </a:endParaRPr>
          </a:p>
        </xdr:txBody>
      </xdr:sp>
      <xdr:sp macro="" textlink="KPI!A17">
        <xdr:nvSpPr>
          <xdr:cNvPr id="59" name="Rectangle: Rounded Corners 58">
            <a:extLst>
              <a:ext uri="{FF2B5EF4-FFF2-40B4-BE49-F238E27FC236}">
                <a16:creationId xmlns:a16="http://schemas.microsoft.com/office/drawing/2014/main" id="{A85233E3-3B75-8D12-AFC0-22A49414CE76}"/>
              </a:ext>
            </a:extLst>
          </xdr:cNvPr>
          <xdr:cNvSpPr/>
        </xdr:nvSpPr>
        <xdr:spPr>
          <a:xfrm>
            <a:off x="3094142" y="622881"/>
            <a:ext cx="1444752" cy="603504"/>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B72FECE3-69B6-45AC-AFC2-88708ED9D2A9}" type="TxLink">
              <a:rPr lang="en-US" sz="2000" b="1" i="0" u="none" strike="noStrike">
                <a:solidFill>
                  <a:schemeClr val="accent6">
                    <a:lumMod val="75000"/>
                  </a:schemeClr>
                </a:solidFill>
                <a:latin typeface="Aptos Narrow"/>
              </a:rPr>
              <a:pPr algn="l"/>
              <a:t>27</a:t>
            </a:fld>
            <a:endParaRPr lang="en-US" sz="2000" b="1">
              <a:solidFill>
                <a:schemeClr val="accent6">
                  <a:lumMod val="75000"/>
                </a:schemeClr>
              </a:solidFill>
            </a:endParaRPr>
          </a:p>
        </xdr:txBody>
      </xdr:sp>
    </xdr:grpSp>
    <xdr:clientData/>
  </xdr:twoCellAnchor>
  <xdr:twoCellAnchor>
    <xdr:from>
      <xdr:col>15</xdr:col>
      <xdr:colOff>406822</xdr:colOff>
      <xdr:row>3</xdr:row>
      <xdr:rowOff>82021</xdr:rowOff>
    </xdr:from>
    <xdr:to>
      <xdr:col>22</xdr:col>
      <xdr:colOff>581999</xdr:colOff>
      <xdr:row>6</xdr:row>
      <xdr:rowOff>157097</xdr:rowOff>
    </xdr:to>
    <xdr:grpSp>
      <xdr:nvGrpSpPr>
        <xdr:cNvPr id="84" name="Group 83">
          <a:extLst>
            <a:ext uri="{FF2B5EF4-FFF2-40B4-BE49-F238E27FC236}">
              <a16:creationId xmlns:a16="http://schemas.microsoft.com/office/drawing/2014/main" id="{9033F828-1A16-26A7-CE03-EDA529F6A62C}"/>
            </a:ext>
          </a:extLst>
        </xdr:cNvPr>
        <xdr:cNvGrpSpPr/>
      </xdr:nvGrpSpPr>
      <xdr:grpSpPr>
        <a:xfrm>
          <a:off x="9550822" y="630661"/>
          <a:ext cx="4442377" cy="623716"/>
          <a:chOff x="9390802" y="623041"/>
          <a:chExt cx="4442377" cy="623716"/>
        </a:xfrm>
      </xdr:grpSpPr>
      <xdr:sp macro="" textlink="Classeoom_Associates_Workload!A16">
        <xdr:nvSpPr>
          <xdr:cNvPr id="63" name="Rectangle: Rounded Corners 62">
            <a:extLst>
              <a:ext uri="{FF2B5EF4-FFF2-40B4-BE49-F238E27FC236}">
                <a16:creationId xmlns:a16="http://schemas.microsoft.com/office/drawing/2014/main" id="{E3B2471F-EEE9-BF15-EB61-E373F298B13F}"/>
              </a:ext>
            </a:extLst>
          </xdr:cNvPr>
          <xdr:cNvSpPr/>
        </xdr:nvSpPr>
        <xdr:spPr>
          <a:xfrm>
            <a:off x="9390802" y="643253"/>
            <a:ext cx="1444752" cy="603504"/>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AA3A304A-351E-419B-9ADA-A5C2BCB2EFAB}" type="TxLink">
              <a:rPr lang="en-US" sz="2000" b="1" i="0" u="none" strike="noStrike">
                <a:solidFill>
                  <a:schemeClr val="accent6">
                    <a:lumMod val="75000"/>
                  </a:schemeClr>
                </a:solidFill>
                <a:latin typeface="Aptos Narrow"/>
              </a:rPr>
              <a:pPr algn="l"/>
              <a:t>Ullah</a:t>
            </a:fld>
            <a:endParaRPr lang="en-US" sz="2000" b="1">
              <a:solidFill>
                <a:schemeClr val="accent6">
                  <a:lumMod val="75000"/>
                </a:schemeClr>
              </a:solidFill>
            </a:endParaRPr>
          </a:p>
        </xdr:txBody>
      </xdr:sp>
      <xdr:sp macro="" textlink="'Most Teachers Covered'!L26">
        <xdr:nvSpPr>
          <xdr:cNvPr id="64" name="Rectangle: Rounded Corners 63">
            <a:extLst>
              <a:ext uri="{FF2B5EF4-FFF2-40B4-BE49-F238E27FC236}">
                <a16:creationId xmlns:a16="http://schemas.microsoft.com/office/drawing/2014/main" id="{747DF005-17EE-13AE-B6C1-96F7444F3A44}"/>
              </a:ext>
            </a:extLst>
          </xdr:cNvPr>
          <xdr:cNvSpPr/>
        </xdr:nvSpPr>
        <xdr:spPr>
          <a:xfrm>
            <a:off x="10892154" y="638200"/>
            <a:ext cx="1444752" cy="603504"/>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3D00ECD8-93E1-4EE1-B8B8-D2C22E03ADAD}" type="TxLink">
              <a:rPr lang="en-US" sz="2000" b="1" i="0" u="none" strike="noStrike">
                <a:solidFill>
                  <a:schemeClr val="accent6">
                    <a:lumMod val="75000"/>
                  </a:schemeClr>
                </a:solidFill>
                <a:latin typeface="Aptos Narrow"/>
              </a:rPr>
              <a:pPr algn="l"/>
              <a:t>NSCC Prof.</a:t>
            </a:fld>
            <a:endParaRPr lang="en-US" sz="2000" b="1">
              <a:solidFill>
                <a:schemeClr val="accent6">
                  <a:lumMod val="75000"/>
                </a:schemeClr>
              </a:solidFill>
            </a:endParaRPr>
          </a:p>
        </xdr:txBody>
      </xdr:sp>
      <xdr:sp macro="" textlink="KPI!D11">
        <xdr:nvSpPr>
          <xdr:cNvPr id="65" name="Rectangle: Rounded Corners 64">
            <a:extLst>
              <a:ext uri="{FF2B5EF4-FFF2-40B4-BE49-F238E27FC236}">
                <a16:creationId xmlns:a16="http://schemas.microsoft.com/office/drawing/2014/main" id="{3E7190F6-D407-7384-CAB6-FEE30D791243}"/>
              </a:ext>
            </a:extLst>
          </xdr:cNvPr>
          <xdr:cNvSpPr/>
        </xdr:nvSpPr>
        <xdr:spPr>
          <a:xfrm>
            <a:off x="12388427" y="623041"/>
            <a:ext cx="1444752" cy="603504"/>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20E35A17-4257-48F7-B77C-2EA2EA202749}" type="TxLink">
              <a:rPr lang="en-US" sz="2000" b="1" i="0" u="none" strike="noStrike">
                <a:solidFill>
                  <a:schemeClr val="accent6">
                    <a:lumMod val="75000"/>
                  </a:schemeClr>
                </a:solidFill>
                <a:latin typeface="Aptos Narrow"/>
              </a:rPr>
              <a:pPr algn="l"/>
              <a:t>6</a:t>
            </a:fld>
            <a:endParaRPr lang="en-US" sz="2000" b="1">
              <a:solidFill>
                <a:schemeClr val="accent6">
                  <a:lumMod val="75000"/>
                </a:schemeClr>
              </a:solidFill>
            </a:endParaRPr>
          </a:p>
        </xdr:txBody>
      </xdr:sp>
    </xdr:grpSp>
    <xdr:clientData/>
  </xdr:twoCellAnchor>
  <xdr:twoCellAnchor>
    <xdr:from>
      <xdr:col>8</xdr:col>
      <xdr:colOff>64134</xdr:colOff>
      <xdr:row>3</xdr:row>
      <xdr:rowOff>82021</xdr:rowOff>
    </xdr:from>
    <xdr:to>
      <xdr:col>15</xdr:col>
      <xdr:colOff>203750</xdr:colOff>
      <xdr:row>6</xdr:row>
      <xdr:rowOff>154613</xdr:rowOff>
    </xdr:to>
    <xdr:grpSp>
      <xdr:nvGrpSpPr>
        <xdr:cNvPr id="83" name="Group 82">
          <a:extLst>
            <a:ext uri="{FF2B5EF4-FFF2-40B4-BE49-F238E27FC236}">
              <a16:creationId xmlns:a16="http://schemas.microsoft.com/office/drawing/2014/main" id="{062E0217-2330-5CC6-84E6-474614562E71}"/>
            </a:ext>
          </a:extLst>
        </xdr:cNvPr>
        <xdr:cNvGrpSpPr/>
      </xdr:nvGrpSpPr>
      <xdr:grpSpPr>
        <a:xfrm>
          <a:off x="4940934" y="630661"/>
          <a:ext cx="4406816" cy="621232"/>
          <a:chOff x="4796154" y="625447"/>
          <a:chExt cx="4406816" cy="621232"/>
        </a:xfrm>
      </xdr:grpSpPr>
      <xdr:sp macro="" textlink="'Peak day'!L3">
        <xdr:nvSpPr>
          <xdr:cNvPr id="61" name="Rectangle: Rounded Corners 60">
            <a:extLst>
              <a:ext uri="{FF2B5EF4-FFF2-40B4-BE49-F238E27FC236}">
                <a16:creationId xmlns:a16="http://schemas.microsoft.com/office/drawing/2014/main" id="{1FBE1AF2-1C15-2697-0881-1FC0B542A4D5}"/>
              </a:ext>
            </a:extLst>
          </xdr:cNvPr>
          <xdr:cNvSpPr/>
        </xdr:nvSpPr>
        <xdr:spPr>
          <a:xfrm>
            <a:off x="6276339" y="640609"/>
            <a:ext cx="1444752" cy="603504"/>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E50FEC10-524A-47CD-BBDB-96B65EB173D2}" type="TxLink">
              <a:rPr lang="en-US" sz="2000" b="1" i="0" u="none" strike="noStrike">
                <a:solidFill>
                  <a:schemeClr val="accent6">
                    <a:lumMod val="75000"/>
                  </a:schemeClr>
                </a:solidFill>
                <a:latin typeface="Aptos Narrow"/>
              </a:rPr>
              <a:pPr algn="l"/>
              <a:t>9</a:t>
            </a:fld>
            <a:endParaRPr lang="en-US" sz="2000" b="1">
              <a:solidFill>
                <a:schemeClr val="accent6">
                  <a:lumMod val="75000"/>
                </a:schemeClr>
              </a:solidFill>
            </a:endParaRPr>
          </a:p>
        </xdr:txBody>
      </xdr:sp>
      <xdr:sp macro="" textlink="'Peak day'!E4">
        <xdr:nvSpPr>
          <xdr:cNvPr id="62" name="Rectangle: Rounded Corners 61">
            <a:extLst>
              <a:ext uri="{FF2B5EF4-FFF2-40B4-BE49-F238E27FC236}">
                <a16:creationId xmlns:a16="http://schemas.microsoft.com/office/drawing/2014/main" id="{1412BFBF-D8ED-A52A-253C-4FD6A0659D3A}"/>
              </a:ext>
            </a:extLst>
          </xdr:cNvPr>
          <xdr:cNvSpPr/>
        </xdr:nvSpPr>
        <xdr:spPr>
          <a:xfrm>
            <a:off x="7758218" y="625447"/>
            <a:ext cx="1444752" cy="603504"/>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253B726-BA2B-48B7-8EC0-0EDF452A7407}" type="TxLink">
              <a:rPr lang="en-US" sz="2000" b="1" i="0" u="none" strike="noStrike">
                <a:solidFill>
                  <a:schemeClr val="accent6">
                    <a:lumMod val="75000"/>
                  </a:schemeClr>
                </a:solidFill>
                <a:latin typeface="Aptos Narrow"/>
              </a:rPr>
              <a:pPr algn="l"/>
              <a:t>63</a:t>
            </a:fld>
            <a:endParaRPr lang="en-US" sz="2000" b="1">
              <a:solidFill>
                <a:schemeClr val="accent6">
                  <a:lumMod val="75000"/>
                </a:schemeClr>
              </a:solidFill>
            </a:endParaRPr>
          </a:p>
        </xdr:txBody>
      </xdr:sp>
      <xdr:sp macro="" textlink="'Peak day'!D4">
        <xdr:nvSpPr>
          <xdr:cNvPr id="68" name="Rectangle: Rounded Corners 67">
            <a:extLst>
              <a:ext uri="{FF2B5EF4-FFF2-40B4-BE49-F238E27FC236}">
                <a16:creationId xmlns:a16="http://schemas.microsoft.com/office/drawing/2014/main" id="{9516A543-784A-0F45-D632-C79DD43ADB59}"/>
              </a:ext>
            </a:extLst>
          </xdr:cNvPr>
          <xdr:cNvSpPr/>
        </xdr:nvSpPr>
        <xdr:spPr>
          <a:xfrm>
            <a:off x="4796154" y="643175"/>
            <a:ext cx="1444752" cy="603504"/>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20C70143-3F6F-4ED9-81F0-21414BB37E0D}" type="TxLink">
              <a:rPr lang="en-US" sz="2000" b="1" i="0" u="none" strike="noStrike">
                <a:solidFill>
                  <a:schemeClr val="accent6">
                    <a:lumMod val="75000"/>
                  </a:schemeClr>
                </a:solidFill>
                <a:latin typeface="Aptos Narrow"/>
                <a:ea typeface="+mn-ea"/>
                <a:cs typeface="+mn-cs"/>
              </a:rPr>
              <a:pPr marL="0" indent="0" algn="l"/>
              <a:t>12-Dec</a:t>
            </a:fld>
            <a:endParaRPr lang="en-US" sz="2000" b="1" i="0">
              <a:solidFill>
                <a:schemeClr val="accent6">
                  <a:lumMod val="75000"/>
                </a:schemeClr>
              </a:solidFill>
              <a:latin typeface="+mn-lt"/>
              <a:ea typeface="+mn-ea"/>
              <a:cs typeface="+mn-cs"/>
            </a:endParaRPr>
          </a:p>
        </xdr:txBody>
      </xdr:sp>
    </xdr:grpSp>
    <xdr:clientData/>
  </xdr:twoCellAnchor>
  <xdr:twoCellAnchor>
    <xdr:from>
      <xdr:col>2</xdr:col>
      <xdr:colOff>441960</xdr:colOff>
      <xdr:row>7</xdr:row>
      <xdr:rowOff>83820</xdr:rowOff>
    </xdr:from>
    <xdr:to>
      <xdr:col>23</xdr:col>
      <xdr:colOff>68580</xdr:colOff>
      <xdr:row>32</xdr:row>
      <xdr:rowOff>38100</xdr:rowOff>
    </xdr:to>
    <xdr:grpSp>
      <xdr:nvGrpSpPr>
        <xdr:cNvPr id="80" name="Group 79">
          <a:extLst>
            <a:ext uri="{FF2B5EF4-FFF2-40B4-BE49-F238E27FC236}">
              <a16:creationId xmlns:a16="http://schemas.microsoft.com/office/drawing/2014/main" id="{2927083E-2110-69AC-6056-CCE23186FC57}"/>
            </a:ext>
          </a:extLst>
        </xdr:cNvPr>
        <xdr:cNvGrpSpPr/>
      </xdr:nvGrpSpPr>
      <xdr:grpSpPr>
        <a:xfrm>
          <a:off x="1661160" y="1363980"/>
          <a:ext cx="12428220" cy="4526280"/>
          <a:chOff x="1516380" y="1386840"/>
          <a:chExt cx="12428220" cy="4526280"/>
        </a:xfrm>
      </xdr:grpSpPr>
      <xdr:graphicFrame macro="">
        <xdr:nvGraphicFramePr>
          <xdr:cNvPr id="72" name="Chart 71">
            <a:extLst>
              <a:ext uri="{FF2B5EF4-FFF2-40B4-BE49-F238E27FC236}">
                <a16:creationId xmlns:a16="http://schemas.microsoft.com/office/drawing/2014/main" id="{1B0A839D-93C6-45AF-BDFC-81450881F379}"/>
              </a:ext>
            </a:extLst>
          </xdr:cNvPr>
          <xdr:cNvGraphicFramePr>
            <a:graphicFrameLocks/>
          </xdr:cNvGraphicFramePr>
        </xdr:nvGraphicFramePr>
        <xdr:xfrm>
          <a:off x="5516880" y="1394460"/>
          <a:ext cx="3718560" cy="241554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74" name="Chart 73">
            <a:extLst>
              <a:ext uri="{FF2B5EF4-FFF2-40B4-BE49-F238E27FC236}">
                <a16:creationId xmlns:a16="http://schemas.microsoft.com/office/drawing/2014/main" id="{E7E10CC0-82ED-41B1-BBF6-D9362191B54B}"/>
              </a:ext>
            </a:extLst>
          </xdr:cNvPr>
          <xdr:cNvGraphicFramePr>
            <a:graphicFrameLocks/>
          </xdr:cNvGraphicFramePr>
        </xdr:nvGraphicFramePr>
        <xdr:xfrm>
          <a:off x="1516380" y="3848100"/>
          <a:ext cx="7726680" cy="205740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75" name="Chart 74">
            <a:extLst>
              <a:ext uri="{FF2B5EF4-FFF2-40B4-BE49-F238E27FC236}">
                <a16:creationId xmlns:a16="http://schemas.microsoft.com/office/drawing/2014/main" id="{BFD847FA-8608-4038-A68E-D0B4E5C230F5}"/>
              </a:ext>
            </a:extLst>
          </xdr:cNvPr>
          <xdr:cNvGraphicFramePr>
            <a:graphicFrameLocks/>
          </xdr:cNvGraphicFramePr>
        </xdr:nvGraphicFramePr>
        <xdr:xfrm>
          <a:off x="9296400" y="1386840"/>
          <a:ext cx="4640580" cy="241554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76" name="Chart 75">
            <a:extLst>
              <a:ext uri="{FF2B5EF4-FFF2-40B4-BE49-F238E27FC236}">
                <a16:creationId xmlns:a16="http://schemas.microsoft.com/office/drawing/2014/main" id="{D219816B-50DF-4CD8-8CF8-D25E65CFE41F}"/>
              </a:ext>
            </a:extLst>
          </xdr:cNvPr>
          <xdr:cNvGraphicFramePr>
            <a:graphicFrameLocks/>
          </xdr:cNvGraphicFramePr>
        </xdr:nvGraphicFramePr>
        <xdr:xfrm>
          <a:off x="9296400" y="3840480"/>
          <a:ext cx="4648200" cy="2072640"/>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0</xdr:col>
      <xdr:colOff>327660</xdr:colOff>
      <xdr:row>5</xdr:row>
      <xdr:rowOff>60960</xdr:rowOff>
    </xdr:from>
    <xdr:to>
      <xdr:col>2</xdr:col>
      <xdr:colOff>91440</xdr:colOff>
      <xdr:row>6</xdr:row>
      <xdr:rowOff>91440</xdr:rowOff>
    </xdr:to>
    <xdr:sp macro="" textlink="KPI!I6">
      <xdr:nvSpPr>
        <xdr:cNvPr id="85" name="Rectangle 84">
          <a:extLst>
            <a:ext uri="{FF2B5EF4-FFF2-40B4-BE49-F238E27FC236}">
              <a16:creationId xmlns:a16="http://schemas.microsoft.com/office/drawing/2014/main" id="{034BF522-072D-4525-445B-E6DBB5D1DE0F}"/>
            </a:ext>
          </a:extLst>
        </xdr:cNvPr>
        <xdr:cNvSpPr/>
      </xdr:nvSpPr>
      <xdr:spPr>
        <a:xfrm>
          <a:off x="327660" y="975360"/>
          <a:ext cx="982980" cy="2133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985FBD0A-E18F-440B-8225-37CA389058B8}" type="TxLink">
            <a:rPr lang="en-US" sz="1100" b="0" i="0" u="none" strike="noStrike">
              <a:solidFill>
                <a:srgbClr val="3C7D22"/>
              </a:solidFill>
              <a:latin typeface="Aptos Narrow"/>
            </a:rPr>
            <a:pPr algn="l"/>
            <a:t>Total classes</a:t>
          </a:fld>
          <a:endParaRPr lang="en-US" sz="1100"/>
        </a:p>
      </xdr:txBody>
    </xdr:sp>
    <xdr:clientData/>
  </xdr:twoCellAnchor>
  <xdr:twoCellAnchor>
    <xdr:from>
      <xdr:col>2</xdr:col>
      <xdr:colOff>556260</xdr:colOff>
      <xdr:row>5</xdr:row>
      <xdr:rowOff>53340</xdr:rowOff>
    </xdr:from>
    <xdr:to>
      <xdr:col>4</xdr:col>
      <xdr:colOff>297180</xdr:colOff>
      <xdr:row>6</xdr:row>
      <xdr:rowOff>99060</xdr:rowOff>
    </xdr:to>
    <xdr:sp macro="" textlink="KPI!E3">
      <xdr:nvSpPr>
        <xdr:cNvPr id="86" name="Rectangle: Rounded Corners 85">
          <a:extLst>
            <a:ext uri="{FF2B5EF4-FFF2-40B4-BE49-F238E27FC236}">
              <a16:creationId xmlns:a16="http://schemas.microsoft.com/office/drawing/2014/main" id="{AF22D1BF-3D6B-0F21-EDEF-B22ED516FFCB}"/>
            </a:ext>
          </a:extLst>
        </xdr:cNvPr>
        <xdr:cNvSpPr/>
      </xdr:nvSpPr>
      <xdr:spPr>
        <a:xfrm>
          <a:off x="1775460" y="967740"/>
          <a:ext cx="960120" cy="2286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29158AE3-D441-422E-AAFA-C6A215F3ADDE}" type="TxLink">
            <a:rPr lang="en-US" sz="1100" b="0" i="0" u="none" strike="noStrike">
              <a:solidFill>
                <a:schemeClr val="accent6">
                  <a:lumMod val="75000"/>
                </a:schemeClr>
              </a:solidFill>
              <a:latin typeface="Aptos Narrow"/>
            </a:rPr>
            <a:pPr algn="l"/>
            <a:t>Total Periods</a:t>
          </a:fld>
          <a:endParaRPr lang="en-US" sz="1100">
            <a:solidFill>
              <a:schemeClr val="accent6">
                <a:lumMod val="75000"/>
              </a:schemeClr>
            </a:solidFill>
          </a:endParaRPr>
        </a:p>
      </xdr:txBody>
    </xdr:sp>
    <xdr:clientData/>
  </xdr:twoCellAnchor>
  <xdr:twoCellAnchor>
    <xdr:from>
      <xdr:col>5</xdr:col>
      <xdr:colOff>205740</xdr:colOff>
      <xdr:row>5</xdr:row>
      <xdr:rowOff>38100</xdr:rowOff>
    </xdr:from>
    <xdr:to>
      <xdr:col>7</xdr:col>
      <xdr:colOff>106680</xdr:colOff>
      <xdr:row>6</xdr:row>
      <xdr:rowOff>91440</xdr:rowOff>
    </xdr:to>
    <xdr:sp macro="" textlink="KPI!A16">
      <xdr:nvSpPr>
        <xdr:cNvPr id="87" name="Rectangle: Rounded Corners 86">
          <a:extLst>
            <a:ext uri="{FF2B5EF4-FFF2-40B4-BE49-F238E27FC236}">
              <a16:creationId xmlns:a16="http://schemas.microsoft.com/office/drawing/2014/main" id="{F180754D-D68A-CFCC-0E3D-95DEC8624083}"/>
            </a:ext>
          </a:extLst>
        </xdr:cNvPr>
        <xdr:cNvSpPr/>
      </xdr:nvSpPr>
      <xdr:spPr>
        <a:xfrm>
          <a:off x="3253740" y="952500"/>
          <a:ext cx="1120140" cy="23622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711186E-8963-4B49-97CD-38AA999268FB}" type="TxLink">
            <a:rPr lang="en-US" sz="1100" b="0" i="0" u="none" strike="noStrike">
              <a:solidFill>
                <a:schemeClr val="accent6">
                  <a:lumMod val="75000"/>
                </a:schemeClr>
              </a:solidFill>
              <a:latin typeface="Aptos Narrow"/>
            </a:rPr>
            <a:pPr algn="l"/>
            <a:t>Average Periods</a:t>
          </a:fld>
          <a:endParaRPr lang="en-US" sz="1100">
            <a:solidFill>
              <a:schemeClr val="accent6">
                <a:lumMod val="75000"/>
              </a:schemeClr>
            </a:solidFill>
          </a:endParaRPr>
        </a:p>
      </xdr:txBody>
    </xdr:sp>
    <xdr:clientData/>
  </xdr:twoCellAnchor>
  <xdr:twoCellAnchor>
    <xdr:from>
      <xdr:col>10</xdr:col>
      <xdr:colOff>350520</xdr:colOff>
      <xdr:row>5</xdr:row>
      <xdr:rowOff>60960</xdr:rowOff>
    </xdr:from>
    <xdr:to>
      <xdr:col>12</xdr:col>
      <xdr:colOff>342900</xdr:colOff>
      <xdr:row>6</xdr:row>
      <xdr:rowOff>137160</xdr:rowOff>
    </xdr:to>
    <xdr:sp macro="" textlink="KPI!D6">
      <xdr:nvSpPr>
        <xdr:cNvPr id="88" name="Rectangle: Rounded Corners 87">
          <a:extLst>
            <a:ext uri="{FF2B5EF4-FFF2-40B4-BE49-F238E27FC236}">
              <a16:creationId xmlns:a16="http://schemas.microsoft.com/office/drawing/2014/main" id="{694D1C4D-37B3-A9BA-6DC0-2D766AE8BDC8}"/>
            </a:ext>
          </a:extLst>
        </xdr:cNvPr>
        <xdr:cNvSpPr/>
      </xdr:nvSpPr>
      <xdr:spPr>
        <a:xfrm>
          <a:off x="6446520" y="975360"/>
          <a:ext cx="1211580" cy="25908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E9F1B3F-4B3E-430D-A7D5-5048A3E496C6}" type="TxLink">
            <a:rPr lang="en-US" sz="1100" b="0" i="0" u="none" strike="noStrike">
              <a:solidFill>
                <a:schemeClr val="accent6">
                  <a:lumMod val="75000"/>
                </a:schemeClr>
              </a:solidFill>
              <a:latin typeface="Aptos Narrow"/>
            </a:rPr>
            <a:pPr algn="l"/>
            <a:t>Peak Classes/Day</a:t>
          </a:fld>
          <a:endParaRPr lang="en-US" sz="1100">
            <a:solidFill>
              <a:schemeClr val="accent6">
                <a:lumMod val="75000"/>
              </a:schemeClr>
            </a:solidFill>
          </a:endParaRPr>
        </a:p>
      </xdr:txBody>
    </xdr:sp>
    <xdr:clientData/>
  </xdr:twoCellAnchor>
  <xdr:twoCellAnchor>
    <xdr:from>
      <xdr:col>12</xdr:col>
      <xdr:colOff>579120</xdr:colOff>
      <xdr:row>5</xdr:row>
      <xdr:rowOff>38100</xdr:rowOff>
    </xdr:from>
    <xdr:to>
      <xdr:col>14</xdr:col>
      <xdr:colOff>563880</xdr:colOff>
      <xdr:row>6</xdr:row>
      <xdr:rowOff>114300</xdr:rowOff>
    </xdr:to>
    <xdr:sp macro="" textlink="KPI!A6">
      <xdr:nvSpPr>
        <xdr:cNvPr id="89" name="Rectangle: Rounded Corners 88">
          <a:extLst>
            <a:ext uri="{FF2B5EF4-FFF2-40B4-BE49-F238E27FC236}">
              <a16:creationId xmlns:a16="http://schemas.microsoft.com/office/drawing/2014/main" id="{329A1162-E831-EF8A-ED93-4516C4C9A96E}"/>
            </a:ext>
          </a:extLst>
        </xdr:cNvPr>
        <xdr:cNvSpPr/>
      </xdr:nvSpPr>
      <xdr:spPr>
        <a:xfrm>
          <a:off x="7894320" y="952500"/>
          <a:ext cx="1203960" cy="25908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EB9414AF-558C-43BE-9546-FB19D2F9954F}" type="TxLink">
            <a:rPr lang="en-US" sz="1100" b="0" i="0" u="none" strike="noStrike">
              <a:solidFill>
                <a:schemeClr val="accent6">
                  <a:lumMod val="75000"/>
                </a:schemeClr>
              </a:solidFill>
              <a:latin typeface="Aptos Narrow"/>
            </a:rPr>
            <a:pPr algn="l"/>
            <a:t>Peak Periods/Day</a:t>
          </a:fld>
          <a:endParaRPr lang="en-US" sz="1100">
            <a:solidFill>
              <a:schemeClr val="accent6">
                <a:lumMod val="75000"/>
              </a:schemeClr>
            </a:solidFill>
          </a:endParaRPr>
        </a:p>
      </xdr:txBody>
    </xdr:sp>
    <xdr:clientData/>
  </xdr:twoCellAnchor>
  <xdr:twoCellAnchor>
    <xdr:from>
      <xdr:col>8</xdr:col>
      <xdr:colOff>76200</xdr:colOff>
      <xdr:row>5</xdr:row>
      <xdr:rowOff>68580</xdr:rowOff>
    </xdr:from>
    <xdr:to>
      <xdr:col>9</xdr:col>
      <xdr:colOff>335280</xdr:colOff>
      <xdr:row>6</xdr:row>
      <xdr:rowOff>137160</xdr:rowOff>
    </xdr:to>
    <xdr:sp macro="" textlink="KPI!A8">
      <xdr:nvSpPr>
        <xdr:cNvPr id="90" name="Rectangle: Rounded Corners 89">
          <a:extLst>
            <a:ext uri="{FF2B5EF4-FFF2-40B4-BE49-F238E27FC236}">
              <a16:creationId xmlns:a16="http://schemas.microsoft.com/office/drawing/2014/main" id="{46118108-3751-2617-4568-671160D9638D}"/>
            </a:ext>
          </a:extLst>
        </xdr:cNvPr>
        <xdr:cNvSpPr/>
      </xdr:nvSpPr>
      <xdr:spPr>
        <a:xfrm>
          <a:off x="4953000" y="982980"/>
          <a:ext cx="868680" cy="2514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0E57465B-E842-436F-BB67-40530CAFC889}" type="TxLink">
            <a:rPr lang="en-US" sz="1100" b="0" i="0" u="none" strike="noStrike">
              <a:solidFill>
                <a:schemeClr val="accent6">
                  <a:lumMod val="75000"/>
                </a:schemeClr>
              </a:solidFill>
              <a:latin typeface="Aptos Narrow"/>
            </a:rPr>
            <a:pPr algn="l"/>
            <a:t>Busiest Day</a:t>
          </a:fld>
          <a:endParaRPr lang="en-US" sz="1100">
            <a:solidFill>
              <a:schemeClr val="accent6">
                <a:lumMod val="75000"/>
              </a:schemeClr>
            </a:solidFill>
          </a:endParaRPr>
        </a:p>
      </xdr:txBody>
    </xdr:sp>
    <xdr:clientData/>
  </xdr:twoCellAnchor>
  <xdr:twoCellAnchor>
    <xdr:from>
      <xdr:col>15</xdr:col>
      <xdr:colOff>358140</xdr:colOff>
      <xdr:row>5</xdr:row>
      <xdr:rowOff>76200</xdr:rowOff>
    </xdr:from>
    <xdr:to>
      <xdr:col>17</xdr:col>
      <xdr:colOff>213360</xdr:colOff>
      <xdr:row>6</xdr:row>
      <xdr:rowOff>121920</xdr:rowOff>
    </xdr:to>
    <xdr:sp macro="" textlink="Classeoom_Associates_Workload!A15">
      <xdr:nvSpPr>
        <xdr:cNvPr id="91" name="Rectangle: Rounded Corners 90">
          <a:extLst>
            <a:ext uri="{FF2B5EF4-FFF2-40B4-BE49-F238E27FC236}">
              <a16:creationId xmlns:a16="http://schemas.microsoft.com/office/drawing/2014/main" id="{1509C9AE-329E-D778-0295-E7426A4F4E78}"/>
            </a:ext>
          </a:extLst>
        </xdr:cNvPr>
        <xdr:cNvSpPr/>
      </xdr:nvSpPr>
      <xdr:spPr>
        <a:xfrm>
          <a:off x="9502140" y="990600"/>
          <a:ext cx="1074420" cy="2286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B2C202DD-8BFB-455D-8145-2F0B52B146F5}" type="TxLink">
            <a:rPr lang="en-US" sz="1100" b="0" i="0" u="none" strike="noStrike">
              <a:solidFill>
                <a:schemeClr val="accent6">
                  <a:lumMod val="75000"/>
                </a:schemeClr>
              </a:solidFill>
              <a:latin typeface="Aptos Narrow"/>
            </a:rPr>
            <a:pPr algn="l"/>
            <a:t>Top Substitute</a:t>
          </a:fld>
          <a:endParaRPr lang="en-US" sz="1100">
            <a:solidFill>
              <a:schemeClr val="accent6">
                <a:lumMod val="75000"/>
              </a:schemeClr>
            </a:solidFill>
          </a:endParaRPr>
        </a:p>
      </xdr:txBody>
    </xdr:sp>
    <xdr:clientData/>
  </xdr:twoCellAnchor>
  <xdr:twoCellAnchor>
    <xdr:from>
      <xdr:col>18</xdr:col>
      <xdr:colOff>53340</xdr:colOff>
      <xdr:row>5</xdr:row>
      <xdr:rowOff>68580</xdr:rowOff>
    </xdr:from>
    <xdr:to>
      <xdr:col>20</xdr:col>
      <xdr:colOff>160020</xdr:colOff>
      <xdr:row>6</xdr:row>
      <xdr:rowOff>137160</xdr:rowOff>
    </xdr:to>
    <xdr:sp macro="" textlink="'Most Teachers Covered'!L25">
      <xdr:nvSpPr>
        <xdr:cNvPr id="92" name="Rectangle: Rounded Corners 91">
          <a:extLst>
            <a:ext uri="{FF2B5EF4-FFF2-40B4-BE49-F238E27FC236}">
              <a16:creationId xmlns:a16="http://schemas.microsoft.com/office/drawing/2014/main" id="{3E093749-42DA-F944-B5AF-7BCB93493417}"/>
            </a:ext>
          </a:extLst>
        </xdr:cNvPr>
        <xdr:cNvSpPr/>
      </xdr:nvSpPr>
      <xdr:spPr>
        <a:xfrm>
          <a:off x="11026140" y="982980"/>
          <a:ext cx="1325880" cy="2514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96D76E6F-B3EA-466C-859B-9E759F88064D}" type="TxLink">
            <a:rPr lang="en-US" sz="1100" b="0" i="0" u="none" strike="noStrike">
              <a:solidFill>
                <a:schemeClr val="accent6">
                  <a:lumMod val="75000"/>
                </a:schemeClr>
              </a:solidFill>
              <a:latin typeface="Aptos Narrow"/>
            </a:rPr>
            <a:pPr algn="l"/>
            <a:t>Top Absent Teacher</a:t>
          </a:fld>
          <a:endParaRPr lang="en-US" sz="1100">
            <a:solidFill>
              <a:schemeClr val="accent6">
                <a:lumMod val="75000"/>
              </a:schemeClr>
            </a:solidFill>
          </a:endParaRPr>
        </a:p>
      </xdr:txBody>
    </xdr:sp>
    <xdr:clientData/>
  </xdr:twoCellAnchor>
  <xdr:twoCellAnchor>
    <xdr:from>
      <xdr:col>20</xdr:col>
      <xdr:colOff>358140</xdr:colOff>
      <xdr:row>5</xdr:row>
      <xdr:rowOff>38100</xdr:rowOff>
    </xdr:from>
    <xdr:to>
      <xdr:col>22</xdr:col>
      <xdr:colOff>304800</xdr:colOff>
      <xdr:row>6</xdr:row>
      <xdr:rowOff>106680</xdr:rowOff>
    </xdr:to>
    <xdr:sp macro="" textlink="KPI!D12">
      <xdr:nvSpPr>
        <xdr:cNvPr id="93" name="Rectangle: Rounded Corners 92">
          <a:extLst>
            <a:ext uri="{FF2B5EF4-FFF2-40B4-BE49-F238E27FC236}">
              <a16:creationId xmlns:a16="http://schemas.microsoft.com/office/drawing/2014/main" id="{83A279B9-6B7B-3192-83BD-4C6F40DCA63A}"/>
            </a:ext>
          </a:extLst>
        </xdr:cNvPr>
        <xdr:cNvSpPr/>
      </xdr:nvSpPr>
      <xdr:spPr>
        <a:xfrm>
          <a:off x="12550140" y="952500"/>
          <a:ext cx="1165860" cy="2514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B56175BE-F5FF-470B-882B-23B16C6F5E19}" type="TxLink">
            <a:rPr lang="en-US" sz="1100" b="0" i="0" u="none" strike="noStrike">
              <a:solidFill>
                <a:schemeClr val="accent6">
                  <a:lumMod val="75000"/>
                </a:schemeClr>
              </a:solidFill>
              <a:latin typeface="Aptos Narrow"/>
            </a:rPr>
            <a:pPr algn="l"/>
            <a:t>Average Classes</a:t>
          </a:fld>
          <a:endParaRPr lang="en-US" sz="1100">
            <a:solidFill>
              <a:schemeClr val="accent6">
                <a:lumMod val="75000"/>
              </a:schemeClr>
            </a:solidFill>
          </a:endParaRPr>
        </a:p>
      </xdr:txBody>
    </xdr:sp>
    <xdr:clientData/>
  </xdr:twoCellAnchor>
  <xdr:twoCellAnchor editAs="oneCell">
    <xdr:from>
      <xdr:col>0</xdr:col>
      <xdr:colOff>22860</xdr:colOff>
      <xdr:row>7</xdr:row>
      <xdr:rowOff>60961</xdr:rowOff>
    </xdr:from>
    <xdr:to>
      <xdr:col>2</xdr:col>
      <xdr:colOff>396240</xdr:colOff>
      <xdr:row>20</xdr:row>
      <xdr:rowOff>30481</xdr:rowOff>
    </xdr:to>
    <mc:AlternateContent xmlns:mc="http://schemas.openxmlformats.org/markup-compatibility/2006" xmlns:a14="http://schemas.microsoft.com/office/drawing/2010/main">
      <mc:Choice Requires="a14">
        <xdr:graphicFrame macro="">
          <xdr:nvGraphicFramePr>
            <xdr:cNvPr id="97" name="Month  1">
              <a:extLst>
                <a:ext uri="{FF2B5EF4-FFF2-40B4-BE49-F238E27FC236}">
                  <a16:creationId xmlns:a16="http://schemas.microsoft.com/office/drawing/2014/main" id="{3F61C256-068A-47DF-A2FF-BA0C2B966721}"/>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22860" y="1341121"/>
              <a:ext cx="1592580" cy="23469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2</xdr:col>
      <xdr:colOff>434340</xdr:colOff>
      <xdr:row>7</xdr:row>
      <xdr:rowOff>91440</xdr:rowOff>
    </xdr:from>
    <xdr:to>
      <xdr:col>9</xdr:col>
      <xdr:colOff>114300</xdr:colOff>
      <xdr:row>20</xdr:row>
      <xdr:rowOff>129540</xdr:rowOff>
    </xdr:to>
    <xdr:graphicFrame macro="">
      <xdr:nvGraphicFramePr>
        <xdr:cNvPr id="2" name="Chart 1">
          <a:extLst>
            <a:ext uri="{FF2B5EF4-FFF2-40B4-BE49-F238E27FC236}">
              <a16:creationId xmlns:a16="http://schemas.microsoft.com/office/drawing/2014/main" id="{CE4B79E4-D968-4E81-B4FD-EB8A515CDA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304800</xdr:colOff>
      <xdr:row>1</xdr:row>
      <xdr:rowOff>68580</xdr:rowOff>
    </xdr:from>
    <xdr:to>
      <xdr:col>11</xdr:col>
      <xdr:colOff>304800</xdr:colOff>
      <xdr:row>14</xdr:row>
      <xdr:rowOff>152399</xdr:rowOff>
    </xdr:to>
    <mc:AlternateContent xmlns:mc="http://schemas.openxmlformats.org/markup-compatibility/2006" xmlns:a14="http://schemas.microsoft.com/office/drawing/2010/main">
      <mc:Choice Requires="a14">
        <xdr:graphicFrame macro="">
          <xdr:nvGraphicFramePr>
            <xdr:cNvPr id="6" name="Month ">
              <a:extLst>
                <a:ext uri="{FF2B5EF4-FFF2-40B4-BE49-F238E27FC236}">
                  <a16:creationId xmlns:a16="http://schemas.microsoft.com/office/drawing/2014/main" id="{7C324A78-4AF3-D35A-F797-180126CE7140}"/>
                </a:ext>
              </a:extLst>
            </xdr:cNvPr>
            <xdr:cNvGraphicFramePr/>
          </xdr:nvGraphicFramePr>
          <xdr:xfrm>
            <a:off x="0" y="0"/>
            <a:ext cx="0" cy="0"/>
          </xdr:xfrm>
          <a:graphic>
            <a:graphicData uri="http://schemas.microsoft.com/office/drawing/2010/slicer">
              <sle:slicer xmlns:sle="http://schemas.microsoft.com/office/drawing/2010/slicer" name="Month "/>
            </a:graphicData>
          </a:graphic>
        </xdr:graphicFrame>
      </mc:Choice>
      <mc:Fallback xmlns="">
        <xdr:sp macro="" textlink="">
          <xdr:nvSpPr>
            <xdr:cNvPr id="0" name=""/>
            <xdr:cNvSpPr>
              <a:spLocks noTextEdit="1"/>
            </xdr:cNvSpPr>
          </xdr:nvSpPr>
          <xdr:spPr>
            <a:xfrm>
              <a:off x="6256020" y="251460"/>
              <a:ext cx="1828800" cy="24612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68580</xdr:colOff>
      <xdr:row>10</xdr:row>
      <xdr:rowOff>64770</xdr:rowOff>
    </xdr:from>
    <xdr:to>
      <xdr:col>11</xdr:col>
      <xdr:colOff>373380</xdr:colOff>
      <xdr:row>25</xdr:row>
      <xdr:rowOff>64770</xdr:rowOff>
    </xdr:to>
    <xdr:graphicFrame macro="">
      <xdr:nvGraphicFramePr>
        <xdr:cNvPr id="2" name="Chart 1">
          <a:extLst>
            <a:ext uri="{FF2B5EF4-FFF2-40B4-BE49-F238E27FC236}">
              <a16:creationId xmlns:a16="http://schemas.microsoft.com/office/drawing/2014/main" id="{DB8F15C6-C155-0284-3841-A29CDA54B6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2</xdr:row>
      <xdr:rowOff>0</xdr:rowOff>
    </xdr:from>
    <xdr:to>
      <xdr:col>12</xdr:col>
      <xdr:colOff>0</xdr:colOff>
      <xdr:row>22</xdr:row>
      <xdr:rowOff>0</xdr:rowOff>
    </xdr:to>
    <xdr:graphicFrame macro="">
      <xdr:nvGraphicFramePr>
        <xdr:cNvPr id="2" name="Chart 1">
          <a:extLst>
            <a:ext uri="{FF2B5EF4-FFF2-40B4-BE49-F238E27FC236}">
              <a16:creationId xmlns:a16="http://schemas.microsoft.com/office/drawing/2014/main" id="{E8129FF9-4242-5F18-09B8-3096DB907D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8</xdr:col>
      <xdr:colOff>396240</xdr:colOff>
      <xdr:row>3</xdr:row>
      <xdr:rowOff>19050</xdr:rowOff>
    </xdr:from>
    <xdr:to>
      <xdr:col>17</xdr:col>
      <xdr:colOff>304800</xdr:colOff>
      <xdr:row>16</xdr:row>
      <xdr:rowOff>76200</xdr:rowOff>
    </xdr:to>
    <xdr:graphicFrame macro="">
      <xdr:nvGraphicFramePr>
        <xdr:cNvPr id="3" name="Chart 2">
          <a:extLst>
            <a:ext uri="{FF2B5EF4-FFF2-40B4-BE49-F238E27FC236}">
              <a16:creationId xmlns:a16="http://schemas.microsoft.com/office/drawing/2014/main" id="{2FE72314-FCEA-228D-4DD8-3ECB46B60A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236220</xdr:colOff>
      <xdr:row>8</xdr:row>
      <xdr:rowOff>133350</xdr:rowOff>
    </xdr:from>
    <xdr:to>
      <xdr:col>11</xdr:col>
      <xdr:colOff>541020</xdr:colOff>
      <xdr:row>23</xdr:row>
      <xdr:rowOff>133350</xdr:rowOff>
    </xdr:to>
    <xdr:graphicFrame macro="">
      <xdr:nvGraphicFramePr>
        <xdr:cNvPr id="2" name="Chart 1">
          <a:extLst>
            <a:ext uri="{FF2B5EF4-FFF2-40B4-BE49-F238E27FC236}">
              <a16:creationId xmlns:a16="http://schemas.microsoft.com/office/drawing/2014/main" id="{0E2A5B7A-1590-AD3A-7728-343E3623E1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480060</xdr:colOff>
      <xdr:row>6</xdr:row>
      <xdr:rowOff>152400</xdr:rowOff>
    </xdr:from>
    <xdr:to>
      <xdr:col>11</xdr:col>
      <xdr:colOff>175260</xdr:colOff>
      <xdr:row>17</xdr:row>
      <xdr:rowOff>60960</xdr:rowOff>
    </xdr:to>
    <xdr:graphicFrame macro="">
      <xdr:nvGraphicFramePr>
        <xdr:cNvPr id="2" name="Chart 1">
          <a:extLst>
            <a:ext uri="{FF2B5EF4-FFF2-40B4-BE49-F238E27FC236}">
              <a16:creationId xmlns:a16="http://schemas.microsoft.com/office/drawing/2014/main" id="{8AF21C19-4168-A24E-D0D0-06AC6861DF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absolute">
    <xdr:from>
      <xdr:col>13</xdr:col>
      <xdr:colOff>419100</xdr:colOff>
      <xdr:row>1</xdr:row>
      <xdr:rowOff>137160</xdr:rowOff>
    </xdr:from>
    <xdr:to>
      <xdr:col>16</xdr:col>
      <xdr:colOff>419100</xdr:colOff>
      <xdr:row>15</xdr:row>
      <xdr:rowOff>158115</xdr:rowOff>
    </xdr:to>
    <mc:AlternateContent xmlns:mc="http://schemas.openxmlformats.org/markup-compatibility/2006" xmlns:sle15="http://schemas.microsoft.com/office/drawing/2012/slicer">
      <mc:Choice Requires="sle15">
        <xdr:graphicFrame macro="">
          <xdr:nvGraphicFramePr>
            <xdr:cNvPr id="2" name="Month">
              <a:extLst>
                <a:ext uri="{FF2B5EF4-FFF2-40B4-BE49-F238E27FC236}">
                  <a16:creationId xmlns:a16="http://schemas.microsoft.com/office/drawing/2014/main" id="{0CC51FB1-C5BE-F8FB-EA40-F57F08909C19}"/>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3296900" y="32004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leem Ullah" refreshedDate="46100.480486111112" createdVersion="8" refreshedVersion="8" minRefreshableVersion="3" recordCount="647" xr:uid="{666499BB-1272-44CB-AE42-49A75DD918D8}">
  <cacheSource type="worksheet">
    <worksheetSource name="All_Cleaned_Data"/>
  </cacheSource>
  <cacheFields count="16">
    <cacheField name="Month" numFmtId="0">
      <sharedItems count="7">
        <s v="Aug"/>
        <s v="Sep"/>
        <s v="Oct"/>
        <s v="Nov"/>
        <s v="Dec"/>
        <s v="Jan"/>
        <s v="Feb"/>
      </sharedItems>
    </cacheField>
    <cacheField name="Date" numFmtId="14">
      <sharedItems containsSemiMixedTypes="0" containsNonDate="0" containsDate="1" containsString="0" minDate="2026-01-06T00:00:00" maxDate="2026-12-20T00:00:00" count="115">
        <d v="2026-08-05T00:00:00"/>
        <d v="2026-08-06T00:00:00"/>
        <d v="2026-08-07T00:00:00"/>
        <d v="2026-08-08T00:00:00"/>
        <d v="2026-08-11T00:00:00"/>
        <d v="2026-08-12T00:00:00"/>
        <d v="2026-08-13T00:00:00"/>
        <d v="2026-08-14T00:00:00"/>
        <d v="2026-08-15T00:00:00"/>
        <d v="2026-08-18T00:00:00"/>
        <d v="2026-08-19T00:00:00"/>
        <d v="2026-08-20T00:00:00"/>
        <d v="2026-08-21T00:00:00"/>
        <d v="2026-08-22T00:00:00"/>
        <d v="2026-08-25T00:00:00"/>
        <d v="2026-08-26T00:00:00"/>
        <d v="2026-08-27T00:00:00"/>
        <d v="2026-08-28T00:00:00"/>
        <d v="2026-08-29T00:00:00"/>
        <d v="2026-09-02T00:00:00"/>
        <d v="2026-09-03T00:00:00"/>
        <d v="2026-09-04T00:00:00"/>
        <d v="2026-09-05T00:00:00"/>
        <d v="2026-09-08T00:00:00"/>
        <d v="2026-09-09T00:00:00"/>
        <d v="2026-09-10T00:00:00"/>
        <d v="2026-09-11T00:00:00"/>
        <d v="2026-09-12T00:00:00"/>
        <d v="2026-09-15T00:00:00"/>
        <d v="2026-09-16T00:00:00"/>
        <d v="2026-09-17T00:00:00"/>
        <d v="2026-09-18T00:00:00"/>
        <d v="2026-09-19T00:00:00"/>
        <d v="2026-09-22T00:00:00"/>
        <d v="2026-09-23T00:00:00"/>
        <d v="2026-09-24T00:00:00"/>
        <d v="2026-09-25T00:00:00"/>
        <d v="2026-09-26T00:00:00"/>
        <d v="2026-09-29T00:00:00"/>
        <d v="2026-09-30T00:00:00"/>
        <d v="2026-10-01T00:00:00"/>
        <d v="2026-10-02T00:00:00"/>
        <d v="2026-10-03T00:00:00"/>
        <d v="2026-10-06T00:00:00"/>
        <d v="2026-10-08T00:00:00"/>
        <d v="2026-10-09T00:00:00"/>
        <d v="2026-10-20T00:00:00"/>
        <d v="2026-10-21T00:00:00"/>
        <d v="2026-10-22T00:00:00"/>
        <d v="2026-10-23T00:00:00"/>
        <d v="2026-10-24T00:00:00"/>
        <d v="2026-10-27T00:00:00"/>
        <d v="2026-10-28T00:00:00"/>
        <d v="2026-10-29T00:00:00"/>
        <d v="2026-10-30T00:00:00"/>
        <d v="2026-11-03T00:00:00"/>
        <d v="2026-11-04T00:00:00"/>
        <d v="2026-11-05T00:00:00"/>
        <d v="2026-11-06T00:00:00"/>
        <d v="2026-11-07T00:00:00"/>
        <d v="2026-11-10T00:00:00"/>
        <d v="2026-11-12T00:00:00"/>
        <d v="2026-11-13T00:00:00"/>
        <d v="2026-11-14T00:00:00"/>
        <d v="2026-11-17T00:00:00"/>
        <d v="2026-11-18T00:00:00"/>
        <d v="2026-11-19T00:00:00"/>
        <d v="2026-11-20T00:00:00"/>
        <d v="2026-11-21T00:00:00"/>
        <d v="2026-12-01T00:00:00"/>
        <d v="2026-12-03T00:00:00"/>
        <d v="2026-12-04T00:00:00"/>
        <d v="2026-12-05T00:00:00"/>
        <d v="2026-12-08T00:00:00"/>
        <d v="2026-12-09T00:00:00"/>
        <d v="2026-12-10T00:00:00"/>
        <d v="2026-12-11T00:00:00"/>
        <d v="2026-12-12T00:00:00"/>
        <d v="2026-12-15T00:00:00"/>
        <d v="2026-12-16T00:00:00"/>
        <d v="2026-12-18T00:00:00"/>
        <d v="2026-12-19T00:00:00"/>
        <d v="2026-01-06T00:00:00"/>
        <d v="2026-01-07T00:00:00"/>
        <d v="2026-01-08T00:00:00"/>
        <d v="2026-01-09T00:00:00"/>
        <d v="2026-01-12T00:00:00"/>
        <d v="2026-01-13T00:00:00"/>
        <d v="2026-01-14T00:00:00"/>
        <d v="2026-01-15T00:00:00"/>
        <d v="2026-01-16T00:00:00"/>
        <d v="2026-01-20T00:00:00"/>
        <d v="2026-01-21T00:00:00"/>
        <d v="2026-01-22T00:00:00"/>
        <d v="2026-01-23T00:00:00"/>
        <d v="2026-01-30T00:00:00"/>
        <d v="2026-02-03T00:00:00"/>
        <d v="2026-02-04T00:00:00"/>
        <d v="2026-02-05T00:00:00"/>
        <d v="2026-02-06T00:00:00"/>
        <d v="2026-02-09T00:00:00"/>
        <d v="2026-02-10T00:00:00"/>
        <d v="2026-02-11T00:00:00"/>
        <d v="2026-02-12T00:00:00"/>
        <d v="2026-02-13T00:00:00"/>
        <d v="2026-02-16T00:00:00"/>
        <d v="2026-02-17T00:00:00"/>
        <d v="2026-02-18T00:00:00"/>
        <d v="2026-02-19T00:00:00"/>
        <d v="2026-02-20T00:00:00"/>
        <d v="2026-02-23T00:00:00"/>
        <d v="2026-02-24T00:00:00"/>
        <d v="2026-02-25T00:00:00"/>
        <d v="2026-02-26T00:00:00"/>
        <d v="2026-02-27T00:00:00"/>
      </sharedItems>
      <fieldGroup par="14"/>
    </cacheField>
    <cacheField name="Day of week.2" numFmtId="0">
      <sharedItems count="5">
        <s v="Tue"/>
        <s v="Wed"/>
        <s v="Thu"/>
        <s v="Fri"/>
        <s v="Mon"/>
      </sharedItems>
    </cacheField>
    <cacheField name="Teacher" numFmtId="0">
      <sharedItems count="132">
        <s v="Abarquez"/>
        <s v="NSCC Prof."/>
        <s v="Domanico"/>
        <s v="Wang"/>
        <s v="Lopez"/>
        <s v="Borrero AM"/>
        <s v="Braston"/>
        <s v="Banfield"/>
        <s v="McCord"/>
        <s v="Muhlstadt"/>
        <s v="Brownfield"/>
        <s v="Lyons"/>
        <s v="McClanahan AM"/>
        <s v="Glover"/>
        <s v="Munoz"/>
        <s v="Jordan"/>
        <s v="Johnson"/>
        <s v="Diehl PM"/>
        <s v="Rasmussen AM"/>
        <s v="Roth"/>
        <s v="Sosa-Ram PM"/>
        <s v="Palmer"/>
        <s v="Coppock"/>
        <s v="Seasoltz"/>
        <s v="Cardwell"/>
        <s v="Diehl"/>
        <s v="Woodcock"/>
        <s v="McClanahan"/>
        <s v="Madison"/>
        <s v="Anderson"/>
        <s v="Borrero"/>
        <s v="Guidry PM"/>
        <s v="Passen"/>
        <s v="Guidry AM"/>
        <s v="Heath"/>
        <s v="Towns-B"/>
        <s v="Russell"/>
        <s v="Ganley"/>
        <s v="Cole"/>
        <s v="McFarland"/>
        <s v="NSCC"/>
        <s v="Crisan"/>
        <s v="Christian"/>
        <s v="Evans"/>
        <s v="Towns-G"/>
        <s v="C. Scott"/>
        <s v="Braston PM"/>
        <s v="Banfield PM"/>
        <s v="Kendricks"/>
        <s v="P. Scott"/>
        <s v="Claypool"/>
        <s v="Croft"/>
        <s v="Chanpetch AM"/>
        <s v="NSCC Prof"/>
        <s v="Diaz"/>
        <s v="Bartel"/>
        <s v="Evans PM"/>
        <s v="Munoz PM"/>
        <s v="Baughn AM"/>
        <s v="Chambliss"/>
        <s v="Hebert"/>
        <s v="Domanico PM"/>
        <s v="Banf. AM Job"/>
        <s v="Banf. PM Job"/>
        <s v="Belding"/>
        <s v="McClanahan PM"/>
        <s v="Sosa-Ram AM"/>
        <s v="Hart"/>
        <s v="Christian AM"/>
        <s v="Garcia"/>
        <s v="Scott, P"/>
        <s v="Gue Caal"/>
        <s v="Brewer"/>
        <s v="Nastri (1/2 day p.m.)"/>
        <s v="Garcia PM"/>
        <s v="Armstrong"/>
        <s v="Dummer"/>
        <s v="Sosa-Ram"/>
        <s v="Kendrick PM"/>
        <s v="Miller"/>
        <s v="Weeks"/>
        <s v="Rasmussen"/>
        <s v="Baughn"/>
        <s v="Culp"/>
        <s v="Guidry"/>
        <s v="Girgis"/>
        <s v="Wright"/>
        <s v="League"/>
        <s v="Leonard"/>
        <s v="Beebe-Lopez"/>
        <s v="Brewer AM"/>
        <s v="Kendrick"/>
        <s v="Heath AM"/>
        <s v="Croft PM"/>
        <s v="Garcia AM"/>
        <s v="Evans AM"/>
        <s v="Anderson AM"/>
        <s v="Kelley AM"/>
        <s v="Coppock PM"/>
        <s v="CJ Scott"/>
        <s v="P. Scott PM"/>
        <s v="Muhlstadt PM"/>
        <s v="McGowen"/>
        <s v="Diaz AM"/>
        <s v="Seasoltz AM"/>
        <s v="Cole PM"/>
        <s v="Armstong"/>
        <s v="Weeks PM"/>
        <s v="Hebert PM"/>
        <s v="Chanpetch"/>
        <s v="Brewer PM"/>
        <s v="Madison Mid"/>
        <s v="McGowen Mid"/>
        <s v="Cardwell PM"/>
        <s v="Borrero PM"/>
        <s v="Anderson PM"/>
        <s v="Towns-B PM"/>
        <s v="Towns-G PM"/>
        <s v="Wright PM"/>
        <s v="Wilson"/>
        <s v="C. Scott PM"/>
        <s v="League AM"/>
        <s v="Garica"/>
        <s v="&quot;Towns-B&quot;"/>
        <s v="Hart PM"/>
        <s v="P. Scott AM"/>
        <s v="Sosa-Ramirez"/>
        <s v="Ex. Ed."/>
        <s v="Towns-B'"/>
        <s v="Claybrooks PM"/>
        <s v="Woodcock PM"/>
        <s v="J. Wilson"/>
      </sharedItems>
    </cacheField>
    <cacheField name="Substitute" numFmtId="0">
      <sharedItems count="29">
        <s v="Erickson"/>
        <s v="Payne"/>
        <s v="Hindieh"/>
        <s v="Jones"/>
        <s v="Ullah"/>
        <s v="Rita"/>
        <s v="Henley"/>
        <s v="Griffin"/>
        <s v="Eaton"/>
        <s v="Usoh"/>
        <s v="Rhodes"/>
        <s v="McCord"/>
        <s v="Williamson"/>
        <s v="Yarbrough"/>
        <s v="Hamadani"/>
        <s v="Gleaves"/>
        <s v="Gleaves/Payne"/>
        <s v="Epps"/>
        <s v="Payne/Gleaves"/>
        <s v="Edwards"/>
        <s v="Prado"/>
        <s v="C. Garcia"/>
        <s v="Arrighi"/>
        <s v="Palmer"/>
        <s v="Pratt"/>
        <s v="Abugumiza"/>
        <s v="2490343"/>
        <s v="Gleaves W/Childs"/>
        <s v="Stover"/>
      </sharedItems>
    </cacheField>
    <cacheField name="Job #" numFmtId="0">
      <sharedItems containsBlank="1"/>
    </cacheField>
    <cacheField name="Room" numFmtId="0">
      <sharedItems containsBlank="1"/>
    </cacheField>
    <cacheField name="Academy" numFmtId="0">
      <sharedItems/>
    </cacheField>
    <cacheField name="Periods Covered" numFmtId="0">
      <sharedItems containsSemiMixedTypes="0" containsString="0" containsNumber="1" containsInteger="1" minValue="1" maxValue="7"/>
    </cacheField>
    <cacheField name="Periods List" numFmtId="0">
      <sharedItems/>
    </cacheField>
    <cacheField name="Column1" numFmtId="0">
      <sharedItems containsSemiMixedTypes="0" containsString="0" containsNumber="1" containsInteger="1" minValue="1" maxValue="47"/>
    </cacheField>
    <cacheField name="Column2" numFmtId="0">
      <sharedItems containsSemiMixedTypes="0" containsString="0" containsNumber="1" minValue="1" maxValue="80.000000000000426" count="20">
        <n v="43.000000000000199"/>
        <n v="1"/>
        <n v="17.999999999999975"/>
        <n v="24.999999999999957"/>
        <n v="65.000000000000426"/>
        <n v="80.000000000000426"/>
        <n v="39.000000000000114"/>
        <n v="6.9999999999999947"/>
        <n v="31.999999999999968"/>
        <n v="5.0000000000000009"/>
        <n v="11.999999999999961"/>
        <n v="5.9999999999999982"/>
        <n v="7.999999999999992"/>
        <n v="21.999999999999968"/>
        <n v="4"/>
        <n v="10.999999999999973"/>
        <n v="52.000000000000306"/>
        <n v="58.000000000000348"/>
        <n v="3.0000000000000009"/>
        <n v="2.0000000000000004"/>
      </sharedItems>
    </cacheField>
    <cacheField name="Remainder" numFmtId="0" formula=" 517 -'Periods Covered'" databaseField="0"/>
    <cacheField name="Days (Date)" numFmtId="0" databaseField="0">
      <fieldGroup base="1">
        <rangePr groupBy="days" startDate="2026-01-06T00:00:00" endDate="2026-12-20T00:00:00"/>
        <groupItems count="368">
          <s v="&lt;1/6/202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20/2026"/>
        </groupItems>
      </fieldGroup>
    </cacheField>
    <cacheField name="Months (Date)" numFmtId="0" databaseField="0">
      <fieldGroup base="1">
        <rangePr groupBy="months" startDate="2026-01-06T00:00:00" endDate="2026-12-20T00:00:00"/>
        <groupItems count="14">
          <s v="&lt;1/6/2026"/>
          <s v="Jan"/>
          <s v="Feb"/>
          <s v="Mar"/>
          <s v="Apr"/>
          <s v="May"/>
          <s v="Jun"/>
          <s v="Jul"/>
          <s v="Aug"/>
          <s v="Sep"/>
          <s v="Oct"/>
          <s v="Nov"/>
          <s v="Dec"/>
          <s v="&gt;12/20/2026"/>
        </groupItems>
      </fieldGroup>
    </cacheField>
    <cacheField name="Field1" numFmtId="0" formula=" 53 -'Periods Covered'" databaseField="0"/>
  </cacheFields>
  <extLst>
    <ext xmlns:x14="http://schemas.microsoft.com/office/spreadsheetml/2009/9/main" uri="{725AE2AE-9491-48be-B2B4-4EB974FC3084}">
      <x14:pivotCacheDefinition pivotCacheId="9990244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47">
  <r>
    <x v="0"/>
    <x v="0"/>
    <x v="0"/>
    <x v="0"/>
    <x v="0"/>
    <s v="2436647"/>
    <s v="108"/>
    <s v="Everyone Else"/>
    <n v="5"/>
    <s v="1st, 2nd, 3rd, 4th, 5th"/>
    <n v="5"/>
    <x v="0"/>
  </r>
  <r>
    <x v="0"/>
    <x v="0"/>
    <x v="0"/>
    <x v="1"/>
    <x v="1"/>
    <s v="2440345"/>
    <s v="214"/>
    <s v="Everyone Else"/>
    <n v="7"/>
    <s v="1st, 2nd, 3rd, 4th, 5th, 6th, 7th"/>
    <n v="47"/>
    <x v="1"/>
  </r>
  <r>
    <x v="0"/>
    <x v="0"/>
    <x v="0"/>
    <x v="2"/>
    <x v="2"/>
    <m/>
    <s v="136"/>
    <s v="Everyone Else"/>
    <n v="5"/>
    <s v="2nd, 3rd, 4th, 5th, 7th"/>
    <n v="10"/>
    <x v="2"/>
  </r>
  <r>
    <x v="0"/>
    <x v="0"/>
    <x v="0"/>
    <x v="3"/>
    <x v="3"/>
    <m/>
    <s v="120"/>
    <s v="Everyone Else"/>
    <n v="5"/>
    <s v="3rd, 4th, 5th, 6th, 7th"/>
    <n v="8"/>
    <x v="3"/>
  </r>
  <r>
    <x v="0"/>
    <x v="0"/>
    <x v="0"/>
    <x v="4"/>
    <x v="4"/>
    <m/>
    <s v="115"/>
    <s v="Everyone Else"/>
    <n v="5"/>
    <s v="1st, 3rd, 4th, 6th, 7th"/>
    <n v="2"/>
    <x v="4"/>
  </r>
  <r>
    <x v="0"/>
    <x v="1"/>
    <x v="1"/>
    <x v="5"/>
    <x v="5"/>
    <s v="2437678"/>
    <s v="213"/>
    <s v="Freshman Academy"/>
    <n v="3"/>
    <s v="3rd, 5th, 7th"/>
    <n v="1"/>
    <x v="5"/>
  </r>
  <r>
    <x v="0"/>
    <x v="1"/>
    <x v="1"/>
    <x v="2"/>
    <x v="4"/>
    <m/>
    <s v="136"/>
    <s v="Freshman Academy"/>
    <n v="3"/>
    <s v="3rd, 5th, 7th"/>
    <n v="10"/>
    <x v="2"/>
  </r>
  <r>
    <x v="0"/>
    <x v="1"/>
    <x v="1"/>
    <x v="3"/>
    <x v="2"/>
    <m/>
    <s v="120"/>
    <s v="Freshman Academy"/>
    <n v="3"/>
    <s v="3rd, 5th, 7th"/>
    <n v="8"/>
    <x v="3"/>
  </r>
  <r>
    <x v="0"/>
    <x v="1"/>
    <x v="1"/>
    <x v="0"/>
    <x v="3"/>
    <s v="2436648"/>
    <s v="108"/>
    <s v="Everyone Else"/>
    <n v="3"/>
    <s v="1st, 3rd, 5th"/>
    <n v="5"/>
    <x v="0"/>
  </r>
  <r>
    <x v="0"/>
    <x v="1"/>
    <x v="1"/>
    <x v="1"/>
    <x v="4"/>
    <s v="2440345"/>
    <s v="214"/>
    <s v="Everyone Else"/>
    <n v="4"/>
    <s v="1st, 3rd, 5th, 7th"/>
    <n v="47"/>
    <x v="1"/>
  </r>
  <r>
    <x v="0"/>
    <x v="1"/>
    <x v="1"/>
    <x v="6"/>
    <x v="1"/>
    <s v="2437732"/>
    <s v="Gym"/>
    <s v="Everyone Else"/>
    <n v="2"/>
    <s v="3rd, 5th"/>
    <n v="6"/>
    <x v="6"/>
  </r>
  <r>
    <x v="0"/>
    <x v="1"/>
    <x v="1"/>
    <x v="7"/>
    <x v="1"/>
    <m/>
    <s v="209"/>
    <s v="Everyone Else"/>
    <n v="1"/>
    <s v="1st"/>
    <n v="10"/>
    <x v="2"/>
  </r>
  <r>
    <x v="0"/>
    <x v="2"/>
    <x v="2"/>
    <x v="3"/>
    <x v="4"/>
    <m/>
    <s v="120"/>
    <s v="Freshman Academy"/>
    <n v="3"/>
    <s v="CCR, 4th, 6th"/>
    <n v="8"/>
    <x v="3"/>
  </r>
  <r>
    <x v="0"/>
    <x v="2"/>
    <x v="2"/>
    <x v="0"/>
    <x v="6"/>
    <s v="2436649"/>
    <s v="108"/>
    <s v="Everyone Else"/>
    <n v="3"/>
    <s v="CCR, 2nd, 4th"/>
    <n v="5"/>
    <x v="0"/>
  </r>
  <r>
    <x v="0"/>
    <x v="2"/>
    <x v="2"/>
    <x v="1"/>
    <x v="4"/>
    <s v="2440345"/>
    <s v="214"/>
    <s v="Everyone Else"/>
    <n v="3"/>
    <s v="2nd, 4th, 6th"/>
    <n v="47"/>
    <x v="1"/>
  </r>
  <r>
    <x v="0"/>
    <x v="2"/>
    <x v="2"/>
    <x v="6"/>
    <x v="7"/>
    <s v="2438486"/>
    <s v="Gym"/>
    <s v="Everyone Else"/>
    <n v="4"/>
    <s v="CCR, 2nd, 4th, 6th"/>
    <n v="6"/>
    <x v="6"/>
  </r>
  <r>
    <x v="0"/>
    <x v="2"/>
    <x v="2"/>
    <x v="7"/>
    <x v="3"/>
    <m/>
    <s v="209"/>
    <s v="Everyone Else"/>
    <n v="2"/>
    <s v="CCR, 2nd"/>
    <n v="10"/>
    <x v="2"/>
  </r>
  <r>
    <x v="0"/>
    <x v="3"/>
    <x v="3"/>
    <x v="3"/>
    <x v="3"/>
    <s v="2438101"/>
    <s v="120"/>
    <s v="Freshman Academy"/>
    <n v="5"/>
    <s v="3rd, 4th, 5th, 6th, 7th"/>
    <n v="8"/>
    <x v="3"/>
  </r>
  <r>
    <x v="0"/>
    <x v="3"/>
    <x v="3"/>
    <x v="2"/>
    <x v="2"/>
    <m/>
    <s v="136"/>
    <s v="Freshman Academy"/>
    <n v="5"/>
    <s v="2nd, 3rd, 4th, 5th, 7th"/>
    <n v="10"/>
    <x v="2"/>
  </r>
  <r>
    <x v="0"/>
    <x v="3"/>
    <x v="3"/>
    <x v="0"/>
    <x v="0"/>
    <s v="2436650"/>
    <s v="108"/>
    <s v="Everyone Else"/>
    <n v="5"/>
    <s v="1st, 2nd, 3rd, 4th, 5th"/>
    <n v="5"/>
    <x v="0"/>
  </r>
  <r>
    <x v="0"/>
    <x v="3"/>
    <x v="3"/>
    <x v="1"/>
    <x v="4"/>
    <s v="2440345"/>
    <s v="214"/>
    <s v="Everyone Else"/>
    <n v="7"/>
    <s v="1st, 2nd, 3rd, 4th, 5th, 6th, 7th"/>
    <n v="47"/>
    <x v="1"/>
  </r>
  <r>
    <x v="0"/>
    <x v="3"/>
    <x v="3"/>
    <x v="8"/>
    <x v="1"/>
    <s v="2436849"/>
    <s v="149"/>
    <s v="Everyone Else"/>
    <n v="7"/>
    <s v="1st, 2nd, 3rd, 4th, 5th, 6th, 7th"/>
    <n v="5"/>
    <x v="0"/>
  </r>
  <r>
    <x v="0"/>
    <x v="4"/>
    <x v="4"/>
    <x v="9"/>
    <x v="4"/>
    <s v="2438113"/>
    <s v="157"/>
    <s v="Everyone Else"/>
    <n v="5"/>
    <s v="1st, 2nd, 3rd, 4th, 7th"/>
    <n v="15"/>
    <x v="7"/>
  </r>
  <r>
    <x v="0"/>
    <x v="5"/>
    <x v="0"/>
    <x v="10"/>
    <x v="8"/>
    <s v="2436835"/>
    <s v="118"/>
    <s v="Everyone Else"/>
    <n v="6"/>
    <s v="1st, 2nd, 3rd, 4th, 5th, 6th"/>
    <n v="7"/>
    <x v="8"/>
  </r>
  <r>
    <x v="0"/>
    <x v="5"/>
    <x v="0"/>
    <x v="9"/>
    <x v="4"/>
    <m/>
    <s v="157"/>
    <s v="Everyone Else"/>
    <n v="5"/>
    <s v="1st, 2nd, 3rd, 4th, 7th"/>
    <n v="15"/>
    <x v="7"/>
  </r>
  <r>
    <x v="0"/>
    <x v="5"/>
    <x v="0"/>
    <x v="11"/>
    <x v="3"/>
    <s v="2439720"/>
    <s v="208"/>
    <s v="Everyone Else"/>
    <n v="5"/>
    <s v="1st, 2nd, 3rd, 5th, 6th"/>
    <n v="18"/>
    <x v="9"/>
  </r>
  <r>
    <x v="0"/>
    <x v="5"/>
    <x v="0"/>
    <x v="12"/>
    <x v="1"/>
    <s v="2439735"/>
    <s v="107"/>
    <s v="Everyone Else"/>
    <n v="5"/>
    <s v="1st, 2nd, 3rd, 6th, 7th"/>
    <n v="1"/>
    <x v="5"/>
  </r>
  <r>
    <x v="0"/>
    <x v="6"/>
    <x v="1"/>
    <x v="13"/>
    <x v="9"/>
    <s v="2437720"/>
    <s v="233"/>
    <s v="Freshman Academy"/>
    <n v="3"/>
    <s v="3rd, 5th, 7th"/>
    <n v="11"/>
    <x v="10"/>
  </r>
  <r>
    <x v="0"/>
    <x v="6"/>
    <x v="1"/>
    <x v="10"/>
    <x v="8"/>
    <s v="2436835"/>
    <s v="118"/>
    <s v="Everyone Else"/>
    <n v="3"/>
    <s v="1st, 3rd, 5th"/>
    <n v="7"/>
    <x v="8"/>
  </r>
  <r>
    <x v="0"/>
    <x v="6"/>
    <x v="1"/>
    <x v="9"/>
    <x v="4"/>
    <s v="2438114"/>
    <s v="157"/>
    <s v="Everyone Else"/>
    <n v="3"/>
    <s v="1st, 3rd, 7th"/>
    <n v="15"/>
    <x v="7"/>
  </r>
  <r>
    <x v="0"/>
    <x v="6"/>
    <x v="1"/>
    <x v="14"/>
    <x v="2"/>
    <s v="2439993"/>
    <s v="110"/>
    <s v="Everyone Else"/>
    <n v="3"/>
    <s v="1st, 3rd, 7th"/>
    <n v="7"/>
    <x v="8"/>
  </r>
  <r>
    <x v="0"/>
    <x v="6"/>
    <x v="1"/>
    <x v="15"/>
    <x v="1"/>
    <s v="2440068"/>
    <s v="165"/>
    <s v="Everyone Else"/>
    <n v="3"/>
    <s v="1st, 3rd, 5th"/>
    <n v="6"/>
    <x v="6"/>
  </r>
  <r>
    <x v="0"/>
    <x v="6"/>
    <x v="1"/>
    <x v="11"/>
    <x v="3"/>
    <s v="2440111"/>
    <s v="208"/>
    <s v="Everyone Else"/>
    <n v="3"/>
    <s v="1st, 3rd, 5th"/>
    <n v="18"/>
    <x v="9"/>
  </r>
  <r>
    <x v="0"/>
    <x v="7"/>
    <x v="2"/>
    <x v="13"/>
    <x v="10"/>
    <s v="2437720"/>
    <s v="233"/>
    <s v="Freshman Academy"/>
    <n v="3"/>
    <s v="CCR, 2nd, 4th"/>
    <n v="11"/>
    <x v="10"/>
  </r>
  <r>
    <x v="0"/>
    <x v="7"/>
    <x v="2"/>
    <x v="10"/>
    <x v="8"/>
    <s v="2436835"/>
    <s v="118"/>
    <s v="Everyone Else"/>
    <n v="4"/>
    <s v="CCR, 2nd, 4th, 6th"/>
    <n v="7"/>
    <x v="8"/>
  </r>
  <r>
    <x v="0"/>
    <x v="7"/>
    <x v="2"/>
    <x v="1"/>
    <x v="4"/>
    <s v="2440346"/>
    <s v="214"/>
    <s v="Everyone Else"/>
    <n v="4"/>
    <s v="CCR, 2nd, 4th, 6th"/>
    <n v="47"/>
    <x v="1"/>
  </r>
  <r>
    <x v="0"/>
    <x v="7"/>
    <x v="2"/>
    <x v="16"/>
    <x v="11"/>
    <s v="2438685"/>
    <s v="222"/>
    <s v="Everyone Else"/>
    <n v="3"/>
    <s v="CCR, 2nd, 6th"/>
    <n v="2"/>
    <x v="4"/>
  </r>
  <r>
    <x v="0"/>
    <x v="7"/>
    <x v="2"/>
    <x v="17"/>
    <x v="3"/>
    <s v="2439762"/>
    <s v="210"/>
    <s v="Everyone Else"/>
    <n v="3"/>
    <s v="CCR, 2nd, 6th"/>
    <n v="1"/>
    <x v="5"/>
  </r>
  <r>
    <x v="0"/>
    <x v="7"/>
    <x v="2"/>
    <x v="18"/>
    <x v="12"/>
    <s v="2440412"/>
    <s v="201"/>
    <s v="Everyone Else"/>
    <n v="3"/>
    <s v="CCR, 4th, 6th"/>
    <n v="2"/>
    <x v="4"/>
  </r>
  <r>
    <x v="0"/>
    <x v="7"/>
    <x v="2"/>
    <x v="19"/>
    <x v="1"/>
    <s v="2440375"/>
    <s v="221"/>
    <s v="Everyone Else"/>
    <n v="3"/>
    <s v="CCR, 2nd, 6th"/>
    <n v="8"/>
    <x v="3"/>
  </r>
  <r>
    <x v="0"/>
    <x v="8"/>
    <x v="3"/>
    <x v="13"/>
    <x v="11"/>
    <s v="2437720"/>
    <s v="233"/>
    <s v="Freshman Academy"/>
    <n v="5"/>
    <s v="2nd, 3rd, 4th, 5th, 7th"/>
    <n v="11"/>
    <x v="10"/>
  </r>
  <r>
    <x v="0"/>
    <x v="8"/>
    <x v="3"/>
    <x v="1"/>
    <x v="4"/>
    <s v="2440346"/>
    <s v="214"/>
    <s v="Everyone Else"/>
    <n v="7"/>
    <s v="1st, 2nd, 3rd, 4th, 5th, 6th, 7th"/>
    <n v="47"/>
    <x v="1"/>
  </r>
  <r>
    <x v="0"/>
    <x v="8"/>
    <x v="3"/>
    <x v="20"/>
    <x v="1"/>
    <s v="2439765"/>
    <s v="205"/>
    <s v="Everyone Else"/>
    <n v="5"/>
    <s v="1st, 2nd, 5th, 6th, 7th"/>
    <n v="1"/>
    <x v="5"/>
  </r>
  <r>
    <x v="0"/>
    <x v="8"/>
    <x v="3"/>
    <x v="10"/>
    <x v="3"/>
    <s v="2440783"/>
    <s v="118"/>
    <s v="Everyone Else"/>
    <n v="6"/>
    <s v="1st, 2nd, 3rd, 4th, 5th, 6th"/>
    <n v="7"/>
    <x v="8"/>
  </r>
  <r>
    <x v="0"/>
    <x v="8"/>
    <x v="3"/>
    <x v="21"/>
    <x v="13"/>
    <s v="2440917"/>
    <s v="108"/>
    <s v="Everyone Else"/>
    <n v="2"/>
    <s v="2nd, 4th"/>
    <n v="2"/>
    <x v="4"/>
  </r>
  <r>
    <x v="0"/>
    <x v="8"/>
    <x v="3"/>
    <x v="22"/>
    <x v="2"/>
    <s v="2441081"/>
    <s v="109"/>
    <s v="Everyone Else"/>
    <n v="5"/>
    <s v="1st, 2nd, 3rd, 4th, 5th"/>
    <n v="17"/>
    <x v="11"/>
  </r>
  <r>
    <x v="0"/>
    <x v="9"/>
    <x v="4"/>
    <x v="23"/>
    <x v="3"/>
    <m/>
    <s v="104"/>
    <s v="Freshman Academy"/>
    <n v="5"/>
    <s v="2nd, 3rd, 4th, 5th, 7th"/>
    <n v="1"/>
    <x v="5"/>
  </r>
  <r>
    <x v="0"/>
    <x v="9"/>
    <x v="4"/>
    <x v="24"/>
    <x v="14"/>
    <s v="2436989"/>
    <s v="121"/>
    <s v="Everyone Else"/>
    <n v="5"/>
    <s v="1st, 2nd, 3rd, 4th, 7th"/>
    <n v="13"/>
    <x v="12"/>
  </r>
  <r>
    <x v="0"/>
    <x v="9"/>
    <x v="4"/>
    <x v="25"/>
    <x v="2"/>
    <s v="2438067"/>
    <s v="210"/>
    <s v="Everyone Else"/>
    <n v="5"/>
    <s v="1st, 2nd, 3rd, 5th, 6th"/>
    <n v="11"/>
    <x v="10"/>
  </r>
  <r>
    <x v="0"/>
    <x v="9"/>
    <x v="4"/>
    <x v="1"/>
    <x v="4"/>
    <s v="2440346"/>
    <s v="214"/>
    <s v="Everyone Else"/>
    <n v="7"/>
    <s v="1st, 2nd, 3rd, 4th, 5th, 6th, 7th"/>
    <n v="47"/>
    <x v="1"/>
  </r>
  <r>
    <x v="0"/>
    <x v="9"/>
    <x v="4"/>
    <x v="26"/>
    <x v="1"/>
    <s v="2441544"/>
    <s v="142"/>
    <s v="Everyone Else"/>
    <n v="5"/>
    <s v="1st, 4th, 5th, 6th, 7th"/>
    <n v="9"/>
    <x v="13"/>
  </r>
  <r>
    <x v="0"/>
    <x v="9"/>
    <x v="4"/>
    <x v="27"/>
    <x v="13"/>
    <s v="2441642"/>
    <s v="107"/>
    <s v="Everyone Else"/>
    <n v="5"/>
    <s v="1st, 2nd, 3rd, 6th, 7th"/>
    <n v="11"/>
    <x v="10"/>
  </r>
  <r>
    <x v="0"/>
    <x v="10"/>
    <x v="0"/>
    <x v="24"/>
    <x v="14"/>
    <s v="2436989"/>
    <s v="121"/>
    <s v="Everyone Else"/>
    <n v="5"/>
    <s v="1st, 2nd, 3rd, 4th, 7th"/>
    <n v="13"/>
    <x v="12"/>
  </r>
  <r>
    <x v="0"/>
    <x v="10"/>
    <x v="0"/>
    <x v="28"/>
    <x v="2"/>
    <s v="2442235"/>
    <s v="214"/>
    <s v="Everyone Else"/>
    <n v="5"/>
    <s v="1st, 2nd, 3rd, 4th, 7th"/>
    <n v="7"/>
    <x v="8"/>
  </r>
  <r>
    <x v="0"/>
    <x v="11"/>
    <x v="1"/>
    <x v="24"/>
    <x v="14"/>
    <s v="2436989"/>
    <s v="121"/>
    <s v="Everyone Else"/>
    <n v="3"/>
    <s v="1st, 3rd, 7th"/>
    <n v="13"/>
    <x v="12"/>
  </r>
  <r>
    <x v="0"/>
    <x v="11"/>
    <x v="1"/>
    <x v="1"/>
    <x v="4"/>
    <s v="2440346"/>
    <s v="214"/>
    <s v="Everyone Else"/>
    <n v="4"/>
    <s v="1st, 3rd, 5th, 7th"/>
    <n v="47"/>
    <x v="1"/>
  </r>
  <r>
    <x v="0"/>
    <x v="11"/>
    <x v="1"/>
    <x v="29"/>
    <x v="5"/>
    <s v="2442673"/>
    <s v="139"/>
    <s v="Everyone Else"/>
    <n v="3"/>
    <s v="3rd, 5th, 7th"/>
    <n v="7"/>
    <x v="8"/>
  </r>
  <r>
    <x v="0"/>
    <x v="11"/>
    <x v="1"/>
    <x v="30"/>
    <x v="1"/>
    <s v="2442758"/>
    <s v="213"/>
    <s v="Everyone Else"/>
    <n v="3"/>
    <s v="3rd, 5th, 7th"/>
    <n v="8"/>
    <x v="3"/>
  </r>
  <r>
    <x v="0"/>
    <x v="11"/>
    <x v="1"/>
    <x v="28"/>
    <x v="3"/>
    <s v="2442774"/>
    <s v="Mixed"/>
    <s v="Everyone Else"/>
    <n v="3"/>
    <s v="1st, 3rd, 7th"/>
    <n v="7"/>
    <x v="8"/>
  </r>
  <r>
    <x v="0"/>
    <x v="11"/>
    <x v="1"/>
    <x v="31"/>
    <x v="2"/>
    <s v="2442784"/>
    <s v="158"/>
    <s v="Everyone Else"/>
    <n v="3"/>
    <s v="1st, 3rd, 7th"/>
    <n v="2"/>
    <x v="4"/>
  </r>
  <r>
    <x v="0"/>
    <x v="12"/>
    <x v="2"/>
    <x v="1"/>
    <x v="4"/>
    <s v="2440346"/>
    <s v="214"/>
    <s v="Everyone Else"/>
    <n v="4"/>
    <s v="CCR, 2nd, 4th, 6th"/>
    <n v="47"/>
    <x v="1"/>
  </r>
  <r>
    <x v="0"/>
    <x v="12"/>
    <x v="2"/>
    <x v="32"/>
    <x v="2"/>
    <s v="2443013"/>
    <s v="232"/>
    <s v="Everyone Else"/>
    <n v="3"/>
    <s v="CCR, 2nd, 6th"/>
    <n v="5"/>
    <x v="0"/>
  </r>
  <r>
    <x v="0"/>
    <x v="12"/>
    <x v="2"/>
    <x v="28"/>
    <x v="1"/>
    <s v="2443130"/>
    <s v="215"/>
    <s v="Everyone Else"/>
    <n v="3"/>
    <s v="CCR, 2nd, 4th"/>
    <n v="7"/>
    <x v="8"/>
  </r>
  <r>
    <x v="0"/>
    <x v="12"/>
    <x v="2"/>
    <x v="33"/>
    <x v="3"/>
    <s v="2443180"/>
    <s v="158"/>
    <s v="Everyone Else"/>
    <n v="3"/>
    <s v="CCR, 2nd, 4th"/>
    <n v="2"/>
    <x v="4"/>
  </r>
  <r>
    <x v="0"/>
    <x v="13"/>
    <x v="3"/>
    <x v="34"/>
    <x v="15"/>
    <s v="2443719"/>
    <s v="229"/>
    <s v="Freshman Academy"/>
    <n v="6"/>
    <s v="2nd, 3rd, 4th, 5th, 6th, 7th"/>
    <n v="19"/>
    <x v="14"/>
  </r>
  <r>
    <x v="0"/>
    <x v="13"/>
    <x v="3"/>
    <x v="35"/>
    <x v="4"/>
    <s v="2443267"/>
    <s v="117"/>
    <s v="Freshman Academy"/>
    <n v="7"/>
    <s v="1st, 2nd, 3rd, 4th, 5th, 6th, 7th"/>
    <n v="10"/>
    <x v="2"/>
  </r>
  <r>
    <x v="0"/>
    <x v="13"/>
    <x v="3"/>
    <x v="4"/>
    <x v="3"/>
    <s v="2436882"/>
    <s v="115"/>
    <s v="Everyone Else"/>
    <n v="5"/>
    <s v="1st, 3rd, 4th, 6th, 7th"/>
    <n v="2"/>
    <x v="4"/>
  </r>
  <r>
    <x v="0"/>
    <x v="13"/>
    <x v="3"/>
    <x v="1"/>
    <x v="1"/>
    <s v="2443420"/>
    <s v="214"/>
    <s v="Everyone Else"/>
    <n v="7"/>
    <s v="1st, 2nd, 3rd, 4th, 5th, 6th, 7th"/>
    <n v="47"/>
    <x v="1"/>
  </r>
  <r>
    <x v="0"/>
    <x v="13"/>
    <x v="3"/>
    <x v="28"/>
    <x v="16"/>
    <s v="2443621"/>
    <m/>
    <s v="Everyone Else"/>
    <n v="5"/>
    <s v="1st, 2nd, 3rd, 4th, 7th"/>
    <n v="7"/>
    <x v="8"/>
  </r>
  <r>
    <x v="0"/>
    <x v="13"/>
    <x v="3"/>
    <x v="36"/>
    <x v="2"/>
    <s v="2443701"/>
    <s v="163"/>
    <s v="Everyone Else"/>
    <n v="5"/>
    <s v="1st, 3rd, 4th, 6th, 7th"/>
    <n v="12"/>
    <x v="15"/>
  </r>
  <r>
    <x v="0"/>
    <x v="13"/>
    <x v="3"/>
    <x v="16"/>
    <x v="13"/>
    <s v="2443731"/>
    <s v="222"/>
    <s v="Everyone Else"/>
    <n v="5"/>
    <s v="1st, 2nd, 3rd, 6th, 7th"/>
    <n v="2"/>
    <x v="4"/>
  </r>
  <r>
    <x v="0"/>
    <x v="14"/>
    <x v="4"/>
    <x v="34"/>
    <x v="3"/>
    <s v="244308"/>
    <s v="229"/>
    <s v="Freshman Academy"/>
    <n v="5"/>
    <s v="3rd, 4th, 5th, 6th, 7th"/>
    <n v="19"/>
    <x v="14"/>
  </r>
  <r>
    <x v="0"/>
    <x v="14"/>
    <x v="4"/>
    <x v="14"/>
    <x v="1"/>
    <s v="2444213"/>
    <s v="110"/>
    <s v="Everyone Else"/>
    <n v="5"/>
    <s v="1st, 2nd, 3rd, 6th, 7th"/>
    <n v="7"/>
    <x v="8"/>
  </r>
  <r>
    <x v="0"/>
    <x v="14"/>
    <x v="4"/>
    <x v="37"/>
    <x v="15"/>
    <s v="2444249"/>
    <s v="138"/>
    <s v="Everyone Else"/>
    <n v="5"/>
    <s v="1st, 2nd, 4th, 5th, 7th"/>
    <n v="7"/>
    <x v="8"/>
  </r>
  <r>
    <x v="0"/>
    <x v="14"/>
    <x v="4"/>
    <x v="11"/>
    <x v="4"/>
    <s v="2444279"/>
    <s v="208"/>
    <s v="Everyone Else"/>
    <n v="5"/>
    <s v="1st, 2nd, 3rd, 5th, 6th"/>
    <n v="18"/>
    <x v="9"/>
  </r>
  <r>
    <x v="0"/>
    <x v="14"/>
    <x v="4"/>
    <x v="38"/>
    <x v="13"/>
    <s v="2444364"/>
    <s v="223"/>
    <s v="Everyone Else"/>
    <n v="5"/>
    <s v="1st, 2nd, 3rd, 6th, 7th"/>
    <n v="5"/>
    <x v="0"/>
  </r>
  <r>
    <x v="0"/>
    <x v="14"/>
    <x v="4"/>
    <x v="39"/>
    <x v="2"/>
    <s v="2444353"/>
    <s v="149"/>
    <s v="Everyone Else"/>
    <n v="7"/>
    <s v="1st, 2nd, 3rd, 4th, 5th, 6th, 7th"/>
    <n v="4"/>
    <x v="16"/>
  </r>
  <r>
    <x v="0"/>
    <x v="15"/>
    <x v="0"/>
    <x v="34"/>
    <x v="6"/>
    <s v="2445034"/>
    <s v="229"/>
    <s v="Freshman Academy"/>
    <n v="5"/>
    <s v="3rd, 4th, 5th, 6th, 7th"/>
    <n v="19"/>
    <x v="14"/>
  </r>
  <r>
    <x v="0"/>
    <x v="15"/>
    <x v="0"/>
    <x v="40"/>
    <x v="6"/>
    <m/>
    <s v="214"/>
    <s v="Freshman Academy"/>
    <n v="7"/>
    <s v="1st, 2nd, 3rd, 4th, 5th, 6th, 7th"/>
    <n v="1"/>
    <x v="5"/>
  </r>
  <r>
    <x v="0"/>
    <x v="15"/>
    <x v="0"/>
    <x v="37"/>
    <x v="15"/>
    <s v="2444726"/>
    <s v="138"/>
    <s v="Everyone Else"/>
    <n v="5"/>
    <s v="1st, 2nd, 4th, 5th, 7th"/>
    <n v="7"/>
    <x v="8"/>
  </r>
  <r>
    <x v="0"/>
    <x v="15"/>
    <x v="0"/>
    <x v="9"/>
    <x v="1"/>
    <s v="2444874"/>
    <s v="162"/>
    <s v="Everyone Else"/>
    <n v="5"/>
    <s v="1st, 2nd, 3rd, 4th, 7th"/>
    <n v="15"/>
    <x v="7"/>
  </r>
  <r>
    <x v="0"/>
    <x v="15"/>
    <x v="0"/>
    <x v="11"/>
    <x v="4"/>
    <s v="2444974"/>
    <s v="208"/>
    <s v="Everyone Else"/>
    <n v="5"/>
    <s v="1st, 2nd, 3rd, 5th, 6th"/>
    <n v="18"/>
    <x v="9"/>
  </r>
  <r>
    <x v="0"/>
    <x v="15"/>
    <x v="0"/>
    <x v="41"/>
    <x v="13"/>
    <s v="2445022"/>
    <s v="217"/>
    <s v="Everyone Else"/>
    <n v="5"/>
    <s v="1st, 2nd, 5th, 6th, 7th"/>
    <n v="10"/>
    <x v="2"/>
  </r>
  <r>
    <x v="0"/>
    <x v="15"/>
    <x v="0"/>
    <x v="42"/>
    <x v="2"/>
    <s v="2445044"/>
    <s v="144"/>
    <s v="Everyone Else"/>
    <n v="5"/>
    <s v="1st, 4th, 5th, 6th, 7th"/>
    <n v="11"/>
    <x v="10"/>
  </r>
  <r>
    <x v="0"/>
    <x v="16"/>
    <x v="1"/>
    <x v="30"/>
    <x v="11"/>
    <s v="2442316"/>
    <s v="213"/>
    <s v="Freshman Academy"/>
    <n v="3"/>
    <s v="3rd, 5th, 7th"/>
    <n v="8"/>
    <x v="3"/>
  </r>
  <r>
    <x v="0"/>
    <x v="16"/>
    <x v="1"/>
    <x v="43"/>
    <x v="1"/>
    <s v="2445493"/>
    <s v="224"/>
    <s v="Freshman Academy"/>
    <n v="3"/>
    <s v="3rd, 5th, 7th"/>
    <n v="8"/>
    <x v="3"/>
  </r>
  <r>
    <x v="0"/>
    <x v="16"/>
    <x v="1"/>
    <x v="44"/>
    <x v="2"/>
    <s v="2443418"/>
    <s v="119"/>
    <s v="Everyone Else"/>
    <n v="3"/>
    <s v="1st, 5th, 7th"/>
    <n v="13"/>
    <x v="12"/>
  </r>
  <r>
    <x v="0"/>
    <x v="16"/>
    <x v="1"/>
    <x v="22"/>
    <x v="3"/>
    <s v="2445139"/>
    <s v="109"/>
    <s v="Everyone Else"/>
    <n v="3"/>
    <s v="1st, 3rd, 5th"/>
    <n v="17"/>
    <x v="11"/>
  </r>
  <r>
    <x v="0"/>
    <x v="16"/>
    <x v="1"/>
    <x v="1"/>
    <x v="4"/>
    <m/>
    <s v="214"/>
    <s v="Everyone Else"/>
    <n v="4"/>
    <s v="1st, 3rd, 5th, 7th"/>
    <n v="47"/>
    <x v="1"/>
  </r>
  <r>
    <x v="0"/>
    <x v="17"/>
    <x v="2"/>
    <x v="22"/>
    <x v="3"/>
    <s v="2445139"/>
    <s v="109"/>
    <s v="Everyone Else"/>
    <n v="3"/>
    <s v="CCR, 2nd, 4th"/>
    <n v="17"/>
    <x v="11"/>
  </r>
  <r>
    <x v="0"/>
    <x v="17"/>
    <x v="2"/>
    <x v="1"/>
    <x v="4"/>
    <m/>
    <s v="214"/>
    <s v="Everyone Else"/>
    <n v="4"/>
    <s v="CCR, 2nd, 4th, 6th"/>
    <n v="47"/>
    <x v="1"/>
  </r>
  <r>
    <x v="0"/>
    <x v="17"/>
    <x v="2"/>
    <x v="45"/>
    <x v="1"/>
    <s v="2445892"/>
    <s v="124"/>
    <s v="Everyone Else"/>
    <n v="3"/>
    <s v="CCR, 4th, 6th"/>
    <n v="3"/>
    <x v="17"/>
  </r>
  <r>
    <x v="0"/>
    <x v="17"/>
    <x v="2"/>
    <x v="46"/>
    <x v="4"/>
    <s v="2445967"/>
    <s v="Gym"/>
    <s v="Everyone Else"/>
    <n v="3"/>
    <s v="2nd, 4th, 6th"/>
    <n v="3"/>
    <x v="17"/>
  </r>
  <r>
    <x v="0"/>
    <x v="18"/>
    <x v="3"/>
    <x v="29"/>
    <x v="2"/>
    <s v="2446570"/>
    <s v="139"/>
    <s v="Freshman Academy"/>
    <n v="5"/>
    <s v="3rd, 4th, 5th, 6th, 7th"/>
    <n v="7"/>
    <x v="8"/>
  </r>
  <r>
    <x v="0"/>
    <x v="18"/>
    <x v="3"/>
    <x v="47"/>
    <x v="4"/>
    <s v="2445988"/>
    <s v="209"/>
    <s v="Everyone Else"/>
    <n v="5"/>
    <s v="1st, 2nd, 3rd, 5th, 6th"/>
    <n v="5"/>
    <x v="0"/>
  </r>
  <r>
    <x v="0"/>
    <x v="18"/>
    <x v="3"/>
    <x v="48"/>
    <x v="13"/>
    <s v="2446193"/>
    <s v="147"/>
    <s v="Everyone Else"/>
    <n v="5"/>
    <s v="1st, 2nd, 4th, 5th, 7th"/>
    <n v="1"/>
    <x v="5"/>
  </r>
  <r>
    <x v="0"/>
    <x v="18"/>
    <x v="3"/>
    <x v="26"/>
    <x v="3"/>
    <s v="2446276"/>
    <s v="142"/>
    <s v="Everyone Else"/>
    <n v="5"/>
    <s v="1st, 4th, 5th, 6th, 7th"/>
    <n v="9"/>
    <x v="13"/>
  </r>
  <r>
    <x v="0"/>
    <x v="18"/>
    <x v="3"/>
    <x v="49"/>
    <x v="1"/>
    <s v="2446292"/>
    <s v="149"/>
    <s v="Everyone Else"/>
    <n v="7"/>
    <s v="1st, 2nd, 3rd, 4th, 5th, 6th, 7th"/>
    <n v="7"/>
    <x v="8"/>
  </r>
  <r>
    <x v="1"/>
    <x v="19"/>
    <x v="0"/>
    <x v="42"/>
    <x v="4"/>
    <s v="2445748"/>
    <s v="144"/>
    <s v="Everyone Else"/>
    <n v="5"/>
    <s v="1st, 4th, 5th, 6th, 7th"/>
    <n v="11"/>
    <x v="10"/>
  </r>
  <r>
    <x v="1"/>
    <x v="19"/>
    <x v="0"/>
    <x v="9"/>
    <x v="3"/>
    <s v="2446808"/>
    <s v="162"/>
    <s v="Everyone Else"/>
    <n v="5"/>
    <s v="1st, 2nd, 3rd, 4th, 7th"/>
    <n v="15"/>
    <x v="7"/>
  </r>
  <r>
    <x v="1"/>
    <x v="19"/>
    <x v="0"/>
    <x v="50"/>
    <x v="2"/>
    <s v="2446916"/>
    <s v="Tea Room"/>
    <s v="Everyone Else"/>
    <n v="5"/>
    <s v="1st, 2nd, 3rd, 4th, 5th"/>
    <n v="20"/>
    <x v="18"/>
  </r>
  <r>
    <x v="1"/>
    <x v="19"/>
    <x v="0"/>
    <x v="51"/>
    <x v="13"/>
    <s v="2446926"/>
    <s v="111"/>
    <s v="Everyone Else"/>
    <n v="5"/>
    <s v="1st, 2nd, 4th, 5th, 7th"/>
    <n v="8"/>
    <x v="3"/>
  </r>
  <r>
    <x v="1"/>
    <x v="19"/>
    <x v="0"/>
    <x v="31"/>
    <x v="1"/>
    <s v="2447025"/>
    <m/>
    <s v="Everyone Else"/>
    <n v="5"/>
    <s v="1st, 2nd, 3rd, 4th, 7th"/>
    <n v="2"/>
    <x v="4"/>
  </r>
  <r>
    <x v="1"/>
    <x v="19"/>
    <x v="0"/>
    <x v="52"/>
    <x v="1"/>
    <s v="2445568"/>
    <s v="149"/>
    <s v="Everyone Else"/>
    <n v="7"/>
    <s v="1st, 2nd, 3rd, 4th, 5th, 6th, 7th"/>
    <n v="1"/>
    <x v="5"/>
  </r>
  <r>
    <x v="1"/>
    <x v="19"/>
    <x v="0"/>
    <x v="41"/>
    <x v="1"/>
    <m/>
    <s v="217"/>
    <s v="Everyone Else"/>
    <n v="7"/>
    <s v="1st, 2nd, 3rd, 4th, 5th, 6th, 7th"/>
    <n v="10"/>
    <x v="2"/>
  </r>
  <r>
    <x v="1"/>
    <x v="19"/>
    <x v="0"/>
    <x v="53"/>
    <x v="15"/>
    <m/>
    <s v="214"/>
    <s v="Everyone Else"/>
    <n v="7"/>
    <s v="1st, 2nd, 3rd, 4th, 5th, 6th, 7th"/>
    <n v="2"/>
    <x v="4"/>
  </r>
  <r>
    <x v="1"/>
    <x v="20"/>
    <x v="1"/>
    <x v="42"/>
    <x v="4"/>
    <s v="2445748"/>
    <s v="144"/>
    <s v="Everyone Else"/>
    <n v="3"/>
    <s v="1st, 5th, 7th"/>
    <n v="11"/>
    <x v="10"/>
  </r>
  <r>
    <x v="1"/>
    <x v="20"/>
    <x v="1"/>
    <x v="1"/>
    <x v="13"/>
    <m/>
    <s v="214"/>
    <s v="Everyone Else"/>
    <n v="4"/>
    <s v="1st, 3rd, 5th, 7th"/>
    <n v="47"/>
    <x v="1"/>
  </r>
  <r>
    <x v="1"/>
    <x v="20"/>
    <x v="1"/>
    <x v="22"/>
    <x v="3"/>
    <s v="2447549"/>
    <s v="109"/>
    <s v="Everyone Else"/>
    <n v="3"/>
    <s v="1st, 3rd, 5th"/>
    <n v="17"/>
    <x v="11"/>
  </r>
  <r>
    <x v="1"/>
    <x v="20"/>
    <x v="1"/>
    <x v="34"/>
    <x v="2"/>
    <s v="2447551"/>
    <s v="229"/>
    <s v="Everyone Else"/>
    <n v="3"/>
    <s v="3rd, 5th, 7th"/>
    <n v="19"/>
    <x v="14"/>
  </r>
  <r>
    <x v="1"/>
    <x v="20"/>
    <x v="1"/>
    <x v="50"/>
    <x v="1"/>
    <s v="2447445"/>
    <s v="Tea Room"/>
    <s v="Everyone Else"/>
    <n v="3"/>
    <s v="1st, 3rd, 5th"/>
    <n v="20"/>
    <x v="18"/>
  </r>
  <r>
    <x v="1"/>
    <x v="21"/>
    <x v="2"/>
    <x v="54"/>
    <x v="13"/>
    <s v="2447342"/>
    <s v="141"/>
    <s v="Freshman Academy"/>
    <n v="3"/>
    <s v="CCR, 4th, 6th"/>
    <n v="3"/>
    <x v="17"/>
  </r>
  <r>
    <x v="1"/>
    <x v="21"/>
    <x v="2"/>
    <x v="55"/>
    <x v="3"/>
    <s v="2442550"/>
    <s v="128"/>
    <s v="Everyone Else"/>
    <n v="3"/>
    <s v="CCR, 2nd, 4th"/>
    <n v="11"/>
    <x v="10"/>
  </r>
  <r>
    <x v="1"/>
    <x v="21"/>
    <x v="2"/>
    <x v="1"/>
    <x v="15"/>
    <m/>
    <s v="214"/>
    <s v="Everyone Else"/>
    <n v="4"/>
    <s v="CCR, 2nd, 4th, 6th"/>
    <n v="47"/>
    <x v="1"/>
  </r>
  <r>
    <x v="1"/>
    <x v="21"/>
    <x v="2"/>
    <x v="33"/>
    <x v="1"/>
    <s v="2447908"/>
    <s v="158"/>
    <s v="Everyone Else"/>
    <n v="3"/>
    <s v="CCR, 2nd, 4th"/>
    <n v="2"/>
    <x v="4"/>
  </r>
  <r>
    <x v="1"/>
    <x v="21"/>
    <x v="2"/>
    <x v="50"/>
    <x v="4"/>
    <s v="2448010"/>
    <s v="Tea Room"/>
    <s v="Everyone Else"/>
    <n v="3"/>
    <s v="CCR, 2nd, 4th"/>
    <n v="20"/>
    <x v="18"/>
  </r>
  <r>
    <x v="1"/>
    <x v="22"/>
    <x v="3"/>
    <x v="56"/>
    <x v="1"/>
    <s v="2447733"/>
    <s v="224"/>
    <s v="Freshman Academy"/>
    <n v="5"/>
    <s v="2nd, 3rd, 5th, 6th, 7th"/>
    <n v="1"/>
    <x v="5"/>
  </r>
  <r>
    <x v="1"/>
    <x v="22"/>
    <x v="3"/>
    <x v="53"/>
    <x v="1"/>
    <s v="2446450"/>
    <s v="214"/>
    <s v="Everyone Else"/>
    <n v="7"/>
    <s v="1st, 2nd, 3rd, 4th, 5th, 6th, 7th"/>
    <n v="2"/>
    <x v="4"/>
  </r>
  <r>
    <x v="1"/>
    <x v="22"/>
    <x v="3"/>
    <x v="57"/>
    <x v="10"/>
    <s v="2437283"/>
    <s v="110"/>
    <s v="Everyone Else"/>
    <n v="5"/>
    <s v="1st, 2nd, 3rd, 6th, 7th"/>
    <n v="4"/>
    <x v="16"/>
  </r>
  <r>
    <x v="1"/>
    <x v="22"/>
    <x v="3"/>
    <x v="50"/>
    <x v="17"/>
    <s v="2448581"/>
    <s v="Tea Room"/>
    <s v="Everyone Else"/>
    <n v="5"/>
    <s v="1st, 2nd, 3rd, 4th, 5th"/>
    <n v="20"/>
    <x v="18"/>
  </r>
  <r>
    <x v="1"/>
    <x v="22"/>
    <x v="3"/>
    <x v="38"/>
    <x v="13"/>
    <s v="2448691"/>
    <s v="223"/>
    <s v="Everyone Else"/>
    <n v="5"/>
    <s v="1st, 2nd, 3rd, 6th, 7th"/>
    <n v="5"/>
    <x v="0"/>
  </r>
  <r>
    <x v="1"/>
    <x v="22"/>
    <x v="3"/>
    <x v="27"/>
    <x v="2"/>
    <s v="2448697"/>
    <s v="107"/>
    <s v="Everyone Else"/>
    <n v="5"/>
    <s v="1st, 2nd, 3rd, 6th, 7th"/>
    <n v="11"/>
    <x v="10"/>
  </r>
  <r>
    <x v="1"/>
    <x v="22"/>
    <x v="3"/>
    <x v="11"/>
    <x v="4"/>
    <s v="2448701"/>
    <s v="208"/>
    <s v="Everyone Else"/>
    <n v="5"/>
    <s v="1st, 2nd, 3rd, 5th, 6th"/>
    <n v="18"/>
    <x v="9"/>
  </r>
  <r>
    <x v="1"/>
    <x v="23"/>
    <x v="4"/>
    <x v="1"/>
    <x v="13"/>
    <s v="2440349"/>
    <s v="214"/>
    <s v="Everyone Else"/>
    <n v="7"/>
    <s v="1st, 2nd, 3rd, 4th, 5th, 6th, 7th"/>
    <n v="47"/>
    <x v="1"/>
  </r>
  <r>
    <x v="1"/>
    <x v="23"/>
    <x v="4"/>
    <x v="15"/>
    <x v="1"/>
    <s v="2448391"/>
    <s v="165"/>
    <s v="Everyone Else"/>
    <n v="5"/>
    <s v="1st, 2nd, 3rd, 4th, 5th"/>
    <n v="6"/>
    <x v="6"/>
  </r>
  <r>
    <x v="1"/>
    <x v="23"/>
    <x v="4"/>
    <x v="50"/>
    <x v="3"/>
    <s v="2449365"/>
    <s v="Tea Room"/>
    <s v="Everyone Else"/>
    <n v="5"/>
    <s v="1st, 2nd, 3rd, 4th, 5th"/>
    <n v="20"/>
    <x v="18"/>
  </r>
  <r>
    <x v="1"/>
    <x v="24"/>
    <x v="0"/>
    <x v="58"/>
    <x v="15"/>
    <s v="2447748"/>
    <m/>
    <s v="Freshman Academy"/>
    <n v="5"/>
    <s v="2nd, 3rd, 4th, 5th, 7th"/>
    <n v="1"/>
    <x v="5"/>
  </r>
  <r>
    <x v="1"/>
    <x v="24"/>
    <x v="0"/>
    <x v="59"/>
    <x v="3"/>
    <s v="2448868"/>
    <s v="231"/>
    <s v="Freshman Academy"/>
    <n v="5"/>
    <s v="2nd, 3rd, 5th, 6th, 7th"/>
    <n v="5"/>
    <x v="0"/>
  </r>
  <r>
    <x v="1"/>
    <x v="24"/>
    <x v="0"/>
    <x v="36"/>
    <x v="1"/>
    <s v="2441175"/>
    <s v="163"/>
    <s v="Everyone Else"/>
    <n v="5"/>
    <s v="1st, 3rd, 4th, 6th, 7th"/>
    <n v="12"/>
    <x v="15"/>
  </r>
  <r>
    <x v="1"/>
    <x v="24"/>
    <x v="0"/>
    <x v="55"/>
    <x v="4"/>
    <s v="2442551"/>
    <s v="128"/>
    <s v="Everyone Else"/>
    <n v="5"/>
    <s v="1st, 2nd, 4th, 5th, 7th"/>
    <n v="11"/>
    <x v="10"/>
  </r>
  <r>
    <x v="1"/>
    <x v="24"/>
    <x v="0"/>
    <x v="60"/>
    <x v="2"/>
    <s v="2447448"/>
    <s v="122"/>
    <s v="Everyone Else"/>
    <n v="5"/>
    <s v="1st, 2nd, 3rd, 4th, 7th"/>
    <n v="8"/>
    <x v="3"/>
  </r>
  <r>
    <x v="1"/>
    <x v="24"/>
    <x v="0"/>
    <x v="15"/>
    <x v="17"/>
    <s v="2448394"/>
    <s v="165"/>
    <s v="Everyone Else"/>
    <n v="5"/>
    <s v="1st, 2nd, 3rd, 4th, 5th"/>
    <n v="6"/>
    <x v="6"/>
  </r>
  <r>
    <x v="1"/>
    <x v="24"/>
    <x v="0"/>
    <x v="7"/>
    <x v="13"/>
    <s v="2448399"/>
    <s v="209"/>
    <s v="Everyone Else"/>
    <n v="5"/>
    <s v="1st, 2nd, 3rd, 5th, 6th"/>
    <n v="10"/>
    <x v="2"/>
  </r>
  <r>
    <x v="1"/>
    <x v="25"/>
    <x v="1"/>
    <x v="61"/>
    <x v="1"/>
    <s v="2446626"/>
    <s v="136"/>
    <s v="Everyone Else"/>
    <n v="3"/>
    <s v="3rd, 5th, 7th"/>
    <n v="1"/>
    <x v="5"/>
  </r>
  <r>
    <x v="1"/>
    <x v="25"/>
    <x v="1"/>
    <x v="43"/>
    <x v="4"/>
    <s v="2447732"/>
    <s v="224"/>
    <s v="Everyone Else"/>
    <n v="3"/>
    <s v="3rd, 5th, 7th"/>
    <n v="8"/>
    <x v="3"/>
  </r>
  <r>
    <x v="1"/>
    <x v="25"/>
    <x v="1"/>
    <x v="60"/>
    <x v="2"/>
    <s v="2447448"/>
    <s v="122"/>
    <s v="Everyone Else"/>
    <n v="3"/>
    <s v="1st, 3rd, 7th"/>
    <n v="8"/>
    <x v="3"/>
  </r>
  <r>
    <x v="1"/>
    <x v="25"/>
    <x v="1"/>
    <x v="59"/>
    <x v="3"/>
    <s v="2448868"/>
    <s v="231"/>
    <s v="Everyone Else"/>
    <n v="3"/>
    <s v="3rd, 5th, 7th"/>
    <n v="5"/>
    <x v="0"/>
  </r>
  <r>
    <x v="1"/>
    <x v="25"/>
    <x v="1"/>
    <x v="62"/>
    <x v="1"/>
    <s v="2451418"/>
    <s v="209"/>
    <s v="Everyone Else"/>
    <n v="4"/>
    <s v="1st, 3rd, 5th, 7th"/>
    <n v="1"/>
    <x v="5"/>
  </r>
  <r>
    <x v="1"/>
    <x v="25"/>
    <x v="1"/>
    <x v="63"/>
    <x v="2"/>
    <s v="2451419"/>
    <s v="209"/>
    <s v="Everyone Else"/>
    <n v="3"/>
    <s v="1st, 3rd, 5th"/>
    <n v="1"/>
    <x v="5"/>
  </r>
  <r>
    <x v="1"/>
    <x v="26"/>
    <x v="2"/>
    <x v="47"/>
    <x v="10"/>
    <s v="2437860"/>
    <s v="209"/>
    <s v="Everyone Else"/>
    <n v="3"/>
    <s v="CCR, 2nd, 6th"/>
    <n v="5"/>
    <x v="0"/>
  </r>
  <r>
    <x v="1"/>
    <x v="26"/>
    <x v="2"/>
    <x v="64"/>
    <x v="2"/>
    <s v="2451109"/>
    <s v="134/135"/>
    <s v="Everyone Else"/>
    <n v="3"/>
    <s v="CCR, 2nd, 6th"/>
    <n v="8"/>
    <x v="3"/>
  </r>
  <r>
    <x v="1"/>
    <x v="26"/>
    <x v="2"/>
    <x v="25"/>
    <x v="13"/>
    <s v="2451143"/>
    <s v="210"/>
    <s v="Everyone Else"/>
    <n v="3"/>
    <s v="CCR, 2nd, 6th"/>
    <n v="11"/>
    <x v="10"/>
  </r>
  <r>
    <x v="1"/>
    <x v="26"/>
    <x v="2"/>
    <x v="65"/>
    <x v="4"/>
    <s v="2451140"/>
    <s v="107"/>
    <s v="Everyone Else"/>
    <n v="3"/>
    <s v="CCR, 2nd, 6th"/>
    <n v="1"/>
    <x v="5"/>
  </r>
  <r>
    <x v="1"/>
    <x v="26"/>
    <x v="2"/>
    <x v="66"/>
    <x v="4"/>
    <s v="2451172"/>
    <s v="205"/>
    <s v="Everyone Else"/>
    <n v="3"/>
    <s v="CCR, 2nd, 6th"/>
    <n v="1"/>
    <x v="5"/>
  </r>
  <r>
    <x v="1"/>
    <x v="27"/>
    <x v="3"/>
    <x v="7"/>
    <x v="10"/>
    <s v="2437861"/>
    <s v="209"/>
    <s v="Everyone Else"/>
    <n v="5"/>
    <s v="1st, 2nd, 3rd, 5th, 6th"/>
    <n v="10"/>
    <x v="2"/>
  </r>
  <r>
    <x v="1"/>
    <x v="27"/>
    <x v="3"/>
    <x v="60"/>
    <x v="1"/>
    <s v="2441257"/>
    <s v="122"/>
    <s v="Everyone Else"/>
    <n v="5"/>
    <s v="1st, 2nd, 3rd, 4th, 7th"/>
    <n v="8"/>
    <x v="3"/>
  </r>
  <r>
    <x v="1"/>
    <x v="27"/>
    <x v="3"/>
    <x v="42"/>
    <x v="13"/>
    <s v="2451458"/>
    <s v="144"/>
    <s v="Everyone Else"/>
    <n v="5"/>
    <s v="1st, 4th, 5th, 6th, 7th"/>
    <n v="11"/>
    <x v="10"/>
  </r>
  <r>
    <x v="1"/>
    <x v="27"/>
    <x v="3"/>
    <x v="45"/>
    <x v="2"/>
    <s v="2451429"/>
    <s v="124"/>
    <s v="Everyone Else"/>
    <n v="5"/>
    <s v="1st, 3rd, 4th, 6th, 7th"/>
    <n v="3"/>
    <x v="17"/>
  </r>
  <r>
    <x v="1"/>
    <x v="27"/>
    <x v="3"/>
    <x v="22"/>
    <x v="4"/>
    <s v="2451530"/>
    <s v="109"/>
    <s v="Everyone Else"/>
    <n v="5"/>
    <s v="1st, 2nd, 3rd, 4th, 5th"/>
    <n v="17"/>
    <x v="11"/>
  </r>
  <r>
    <x v="1"/>
    <x v="27"/>
    <x v="3"/>
    <x v="14"/>
    <x v="15"/>
    <s v="2451611"/>
    <s v="110"/>
    <s v="Everyone Else"/>
    <n v="5"/>
    <s v="1st, 2nd, 3rd, 6th, 7th"/>
    <n v="7"/>
    <x v="8"/>
  </r>
  <r>
    <x v="1"/>
    <x v="28"/>
    <x v="4"/>
    <x v="34"/>
    <x v="13"/>
    <s v="2452318"/>
    <s v="229"/>
    <s v="Freshman Academy"/>
    <n v="5"/>
    <s v="3rd, 4th, 5th, 6th, 7th"/>
    <n v="19"/>
    <x v="14"/>
  </r>
  <r>
    <x v="1"/>
    <x v="28"/>
    <x v="4"/>
    <x v="26"/>
    <x v="3"/>
    <s v="2452109"/>
    <s v="142"/>
    <s v="Everyone Else"/>
    <n v="5"/>
    <s v="1st, 4th, 5th, 6th, 7th"/>
    <n v="9"/>
    <x v="13"/>
  </r>
  <r>
    <x v="1"/>
    <x v="28"/>
    <x v="4"/>
    <x v="55"/>
    <x v="4"/>
    <s v="2452290"/>
    <s v="128"/>
    <s v="Everyone Else"/>
    <n v="5"/>
    <s v="1st, 2nd, 4th, 5th, 7th"/>
    <n v="11"/>
    <x v="10"/>
  </r>
  <r>
    <x v="1"/>
    <x v="28"/>
    <x v="4"/>
    <x v="67"/>
    <x v="1"/>
    <s v="2452208"/>
    <m/>
    <s v="Everyone Else"/>
    <n v="7"/>
    <s v="1st, 2nd, 3rd, 4th, 5th, 6th, 7th"/>
    <n v="4"/>
    <x v="16"/>
  </r>
  <r>
    <x v="1"/>
    <x v="28"/>
    <x v="4"/>
    <x v="39"/>
    <x v="15"/>
    <s v="2452288"/>
    <m/>
    <s v="Everyone Else"/>
    <n v="7"/>
    <s v="1st, 2nd, 3rd, 4th, 5th, 6th, 7th"/>
    <n v="4"/>
    <x v="16"/>
  </r>
  <r>
    <x v="1"/>
    <x v="29"/>
    <x v="0"/>
    <x v="38"/>
    <x v="3"/>
    <s v="2452918"/>
    <s v="223"/>
    <s v="Everyone Else"/>
    <n v="5"/>
    <s v="1st, 2nd, 3rd, 6th, 7th"/>
    <n v="5"/>
    <x v="0"/>
  </r>
  <r>
    <x v="1"/>
    <x v="29"/>
    <x v="0"/>
    <x v="1"/>
    <x v="2"/>
    <m/>
    <s v="214"/>
    <s v="Everyone Else"/>
    <n v="7"/>
    <s v="1st, 2nd, 3rd, 4th, 5th, 6th, 7th"/>
    <n v="47"/>
    <x v="1"/>
  </r>
  <r>
    <x v="1"/>
    <x v="29"/>
    <x v="0"/>
    <x v="68"/>
    <x v="13"/>
    <m/>
    <s v="144"/>
    <s v="Everyone Else"/>
    <n v="5"/>
    <s v="1st, 4th, 5th, 6th, 7th"/>
    <n v="1"/>
    <x v="5"/>
  </r>
  <r>
    <x v="1"/>
    <x v="30"/>
    <x v="1"/>
    <x v="13"/>
    <x v="17"/>
    <s v="2444903"/>
    <s v="233"/>
    <s v="Freshman Academy"/>
    <n v="3"/>
    <s v="3rd, 5th, 7th"/>
    <n v="11"/>
    <x v="10"/>
  </r>
  <r>
    <x v="1"/>
    <x v="30"/>
    <x v="1"/>
    <x v="69"/>
    <x v="2"/>
    <s v="2452597"/>
    <s v="114"/>
    <s v="Everyone Else"/>
    <n v="3"/>
    <s v="1st, 5th, 7th"/>
    <n v="25"/>
    <x v="19"/>
  </r>
  <r>
    <x v="1"/>
    <x v="30"/>
    <x v="1"/>
    <x v="11"/>
    <x v="13"/>
    <s v="2453534"/>
    <s v="208"/>
    <s v="Everyone Else"/>
    <n v="3"/>
    <s v="1st, 3rd, 5th"/>
    <n v="18"/>
    <x v="9"/>
  </r>
  <r>
    <x v="1"/>
    <x v="31"/>
    <x v="2"/>
    <x v="13"/>
    <x v="4"/>
    <s v="2444904"/>
    <s v="233"/>
    <s v="Freshman Academy"/>
    <n v="3"/>
    <s v="CCR, 2nd, 4th"/>
    <n v="11"/>
    <x v="10"/>
  </r>
  <r>
    <x v="1"/>
    <x v="31"/>
    <x v="2"/>
    <x v="30"/>
    <x v="3"/>
    <s v="2453576"/>
    <m/>
    <s v="Freshman Academy"/>
    <n v="3"/>
    <s v="CCR, 4th, 6th"/>
    <n v="8"/>
    <x v="3"/>
  </r>
  <r>
    <x v="1"/>
    <x v="31"/>
    <x v="2"/>
    <x v="70"/>
    <x v="17"/>
    <s v="2437174"/>
    <s v="149"/>
    <s v="Everyone Else"/>
    <n v="4"/>
    <s v="CCR, 2nd, 4th, 6th"/>
    <n v="1"/>
    <x v="5"/>
  </r>
  <r>
    <x v="1"/>
    <x v="31"/>
    <x v="2"/>
    <x v="71"/>
    <x v="1"/>
    <s v="2437251"/>
    <s v="149"/>
    <s v="Everyone Else"/>
    <n v="4"/>
    <s v="CCR, 2nd, 4th, 6th"/>
    <n v="2"/>
    <x v="4"/>
  </r>
  <r>
    <x v="1"/>
    <x v="31"/>
    <x v="2"/>
    <x v="25"/>
    <x v="13"/>
    <s v="2452618"/>
    <s v="210"/>
    <s v="Everyone Else"/>
    <n v="3"/>
    <s v="CCR, 2nd, 6th"/>
    <n v="11"/>
    <x v="10"/>
  </r>
  <r>
    <x v="1"/>
    <x v="31"/>
    <x v="2"/>
    <x v="72"/>
    <x v="2"/>
    <s v="2453961"/>
    <s v="145"/>
    <s v="Everyone Else"/>
    <n v="3"/>
    <s v="CCR, 2nd, 6th"/>
    <n v="5"/>
    <x v="0"/>
  </r>
  <r>
    <x v="1"/>
    <x v="31"/>
    <x v="2"/>
    <x v="73"/>
    <x v="15"/>
    <s v="2454204"/>
    <m/>
    <s v="Everyone Else"/>
    <n v="2"/>
    <s v="4th, 6th"/>
    <n v="1"/>
    <x v="5"/>
  </r>
  <r>
    <x v="1"/>
    <x v="32"/>
    <x v="3"/>
    <x v="13"/>
    <x v="4"/>
    <s v="2444905"/>
    <s v="233"/>
    <s v="Freshman Academy"/>
    <n v="5"/>
    <s v="2nd, 3rd, 4th, 5th, 7th"/>
    <n v="11"/>
    <x v="10"/>
  </r>
  <r>
    <x v="1"/>
    <x v="32"/>
    <x v="3"/>
    <x v="1"/>
    <x v="15"/>
    <s v="2445184"/>
    <s v="214"/>
    <s v="Everyone Else"/>
    <n v="7"/>
    <s v="1st, 2nd, 3rd, 4th, 5th, 6th, 7th"/>
    <n v="47"/>
    <x v="1"/>
  </r>
  <r>
    <x v="1"/>
    <x v="32"/>
    <x v="3"/>
    <x v="74"/>
    <x v="1"/>
    <s v="2453210"/>
    <s v="114"/>
    <s v="Everyone Else"/>
    <n v="5"/>
    <s v="1st, 4th, 5th, 6th, 7th"/>
    <n v="2"/>
    <x v="4"/>
  </r>
  <r>
    <x v="1"/>
    <x v="32"/>
    <x v="3"/>
    <x v="11"/>
    <x v="13"/>
    <s v="2454466"/>
    <s v="208"/>
    <s v="Everyone Else"/>
    <n v="5"/>
    <s v="1st, 2nd, 3rd, 5th, 6th"/>
    <n v="18"/>
    <x v="9"/>
  </r>
  <r>
    <x v="1"/>
    <x v="33"/>
    <x v="4"/>
    <x v="75"/>
    <x v="4"/>
    <s v="2454900"/>
    <s v="230"/>
    <s v="Freshman Academy"/>
    <n v="5"/>
    <s v="2nd, 3rd, 4th, 5th, 7th"/>
    <n v="6"/>
    <x v="6"/>
  </r>
  <r>
    <x v="1"/>
    <x v="33"/>
    <x v="4"/>
    <x v="1"/>
    <x v="4"/>
    <m/>
    <s v="214"/>
    <s v="Everyone Else"/>
    <n v="7"/>
    <s v="1st, 2nd, 3rd, 4th, 5th, 6th, 7th"/>
    <n v="47"/>
    <x v="1"/>
  </r>
  <r>
    <x v="1"/>
    <x v="33"/>
    <x v="4"/>
    <x v="76"/>
    <x v="1"/>
    <s v="2454103"/>
    <s v="164"/>
    <s v="Everyone Else"/>
    <n v="5"/>
    <s v="1st, 3rd, 4th, 5th, 6th"/>
    <n v="3"/>
    <x v="17"/>
  </r>
  <r>
    <x v="1"/>
    <x v="33"/>
    <x v="4"/>
    <x v="77"/>
    <x v="3"/>
    <s v="2454798"/>
    <s v="205"/>
    <s v="Everyone Else"/>
    <n v="5"/>
    <s v="1st, 2nd, 5th, 6th, 7th"/>
    <n v="1"/>
    <x v="5"/>
  </r>
  <r>
    <x v="1"/>
    <x v="33"/>
    <x v="4"/>
    <x v="60"/>
    <x v="2"/>
    <s v="2455227"/>
    <s v="122"/>
    <s v="Everyone Else"/>
    <n v="5"/>
    <s v="1st, 2nd, 3rd, 4th, 7th"/>
    <n v="8"/>
    <x v="3"/>
  </r>
  <r>
    <x v="1"/>
    <x v="33"/>
    <x v="4"/>
    <x v="41"/>
    <x v="13"/>
    <s v="2455269"/>
    <s v="217"/>
    <s v="Everyone Else"/>
    <n v="5"/>
    <s v="1st, 2nd, 5th, 6th, 7th"/>
    <n v="10"/>
    <x v="2"/>
  </r>
  <r>
    <x v="1"/>
    <x v="34"/>
    <x v="0"/>
    <x v="30"/>
    <x v="2"/>
    <s v="2442319"/>
    <s v="213"/>
    <s v="Freshman Academy"/>
    <n v="5"/>
    <s v="3rd, 4th, 5th, 6th, 7th"/>
    <n v="8"/>
    <x v="3"/>
  </r>
  <r>
    <x v="1"/>
    <x v="34"/>
    <x v="0"/>
    <x v="34"/>
    <x v="3"/>
    <s v="2455868"/>
    <m/>
    <s v="Freshman Academy"/>
    <n v="5"/>
    <s v="3rd, 4th, 5th, 6th, 7th"/>
    <n v="19"/>
    <x v="14"/>
  </r>
  <r>
    <x v="1"/>
    <x v="34"/>
    <x v="0"/>
    <x v="19"/>
    <x v="1"/>
    <s v="2455507"/>
    <s v="221"/>
    <s v="Everyone Else"/>
    <n v="5"/>
    <s v="1st, 2nd, 3rd, 5th, 6th"/>
    <n v="8"/>
    <x v="3"/>
  </r>
  <r>
    <x v="1"/>
    <x v="34"/>
    <x v="0"/>
    <x v="1"/>
    <x v="4"/>
    <m/>
    <s v="214"/>
    <s v="Everyone Else"/>
    <n v="7"/>
    <s v="1st, 2nd, 3rd, 4th, 5th, 6th, 7th"/>
    <n v="47"/>
    <x v="1"/>
  </r>
  <r>
    <x v="1"/>
    <x v="34"/>
    <x v="0"/>
    <x v="64"/>
    <x v="13"/>
    <s v="2452496"/>
    <s v="134/135"/>
    <s v="Everyone Else"/>
    <n v="5"/>
    <s v="1st, 2nd, 5th, 6th, 7th"/>
    <n v="8"/>
    <x v="3"/>
  </r>
  <r>
    <x v="1"/>
    <x v="34"/>
    <x v="0"/>
    <x v="6"/>
    <x v="15"/>
    <s v="2455361"/>
    <s v="Gym"/>
    <s v="Everyone Else"/>
    <n v="5"/>
    <s v="1st, 3rd, 4th, 5th, 6th"/>
    <n v="6"/>
    <x v="6"/>
  </r>
  <r>
    <x v="1"/>
    <x v="34"/>
    <x v="0"/>
    <x v="15"/>
    <x v="17"/>
    <s v="2455784"/>
    <s v="165"/>
    <s v="Everyone Else"/>
    <n v="5"/>
    <s v="1st, 2nd, 3rd, 4th, 5th"/>
    <n v="6"/>
    <x v="6"/>
  </r>
  <r>
    <x v="1"/>
    <x v="35"/>
    <x v="1"/>
    <x v="1"/>
    <x v="2"/>
    <m/>
    <s v="214"/>
    <s v="Everyone Else"/>
    <n v="4"/>
    <s v="1st, 3rd, 5th, 7th"/>
    <n v="47"/>
    <x v="1"/>
  </r>
  <r>
    <x v="1"/>
    <x v="35"/>
    <x v="1"/>
    <x v="78"/>
    <x v="2"/>
    <s v="2456172"/>
    <s v="147"/>
    <s v="Everyone Else"/>
    <n v="3"/>
    <s v="1st, 5th, 7th"/>
    <n v="2"/>
    <x v="4"/>
  </r>
  <r>
    <x v="1"/>
    <x v="35"/>
    <x v="1"/>
    <x v="19"/>
    <x v="1"/>
    <s v="2455507"/>
    <s v="221"/>
    <s v="Everyone Else"/>
    <n v="3"/>
    <s v="1st, 3rd, 5th"/>
    <n v="8"/>
    <x v="3"/>
  </r>
  <r>
    <x v="1"/>
    <x v="35"/>
    <x v="1"/>
    <x v="79"/>
    <x v="4"/>
    <s v="2455454"/>
    <s v="216"/>
    <s v="Everyone Else"/>
    <n v="3"/>
    <s v="1st, 5th, 7th"/>
    <n v="5"/>
    <x v="0"/>
  </r>
  <r>
    <x v="1"/>
    <x v="35"/>
    <x v="1"/>
    <x v="80"/>
    <x v="3"/>
    <s v="2456010"/>
    <s v="225"/>
    <s v="Everyone Else"/>
    <n v="3"/>
    <s v="1st, 5th, 7th"/>
    <n v="5"/>
    <x v="0"/>
  </r>
  <r>
    <x v="1"/>
    <x v="35"/>
    <x v="1"/>
    <x v="81"/>
    <x v="12"/>
    <s v="2456323"/>
    <s v="201"/>
    <s v="Everyone Else"/>
    <n v="3"/>
    <s v="1st, 3rd, 7th"/>
    <n v="1"/>
    <x v="5"/>
  </r>
  <r>
    <x v="1"/>
    <x v="35"/>
    <x v="1"/>
    <x v="22"/>
    <x v="15"/>
    <s v="2456417"/>
    <s v="109"/>
    <s v="Everyone Else"/>
    <n v="3"/>
    <s v="1st, 3rd, 5th"/>
    <n v="17"/>
    <x v="11"/>
  </r>
  <r>
    <x v="1"/>
    <x v="36"/>
    <x v="2"/>
    <x v="82"/>
    <x v="1"/>
    <s v="2439808"/>
    <s v="140"/>
    <s v="Freshman Academy"/>
    <n v="3"/>
    <s v="CCR, 2nd, 4th"/>
    <n v="4"/>
    <x v="16"/>
  </r>
  <r>
    <x v="1"/>
    <x v="36"/>
    <x v="2"/>
    <x v="55"/>
    <x v="13"/>
    <s v="2456883"/>
    <s v="128"/>
    <s v="Everyone Else"/>
    <n v="3"/>
    <s v="CCR, 2nd, 4th"/>
    <n v="11"/>
    <x v="10"/>
  </r>
  <r>
    <x v="1"/>
    <x v="36"/>
    <x v="2"/>
    <x v="83"/>
    <x v="2"/>
    <s v="2454889"/>
    <s v="202"/>
    <s v="Everyone Else"/>
    <n v="3"/>
    <s v="CCR, 4th, 6th"/>
    <n v="1"/>
    <x v="5"/>
  </r>
  <r>
    <x v="1"/>
    <x v="36"/>
    <x v="2"/>
    <x v="21"/>
    <x v="3"/>
    <s v="2456905"/>
    <s v="108"/>
    <s v="Everyone Else"/>
    <n v="4"/>
    <s v="CCR, 2nd, 4th, 6th"/>
    <n v="2"/>
    <x v="4"/>
  </r>
  <r>
    <x v="1"/>
    <x v="37"/>
    <x v="3"/>
    <x v="30"/>
    <x v="2"/>
    <s v="2442320"/>
    <s v="213"/>
    <s v="Freshman Academy"/>
    <n v="5"/>
    <s v="3rd, 4th, 5th, 6th, 7th"/>
    <n v="8"/>
    <x v="3"/>
  </r>
  <r>
    <x v="1"/>
    <x v="37"/>
    <x v="3"/>
    <x v="82"/>
    <x v="3"/>
    <s v="2439809"/>
    <s v="140"/>
    <s v="Freshman Academy"/>
    <n v="5"/>
    <s v="2nd, 3rd, 4th, 5th, 7th"/>
    <n v="4"/>
    <x v="16"/>
  </r>
  <r>
    <x v="1"/>
    <x v="37"/>
    <x v="3"/>
    <x v="47"/>
    <x v="13"/>
    <s v="2456180"/>
    <s v="209"/>
    <s v="Everyone Else"/>
    <n v="5"/>
    <s v="1st, 2nd, 3rd, 5th, 6th"/>
    <n v="5"/>
    <x v="0"/>
  </r>
  <r>
    <x v="1"/>
    <x v="37"/>
    <x v="3"/>
    <x v="14"/>
    <x v="18"/>
    <s v="2456969"/>
    <s v="110"/>
    <s v="Everyone Else"/>
    <n v="5"/>
    <s v="1st, 2nd, 3rd, 6th, 7th"/>
    <n v="7"/>
    <x v="8"/>
  </r>
  <r>
    <x v="1"/>
    <x v="37"/>
    <x v="3"/>
    <x v="84"/>
    <x v="4"/>
    <s v="2457115"/>
    <s v="158"/>
    <s v="Everyone Else"/>
    <n v="5"/>
    <s v="1st, 2nd, 3rd, 4th, 7th"/>
    <n v="9"/>
    <x v="13"/>
  </r>
  <r>
    <x v="1"/>
    <x v="38"/>
    <x v="4"/>
    <x v="3"/>
    <x v="13"/>
    <m/>
    <s v="120"/>
    <s v="Freshman Academy"/>
    <n v="5"/>
    <s v="3rd, 4th, 5th, 6th, 7th"/>
    <n v="8"/>
    <x v="3"/>
  </r>
  <r>
    <x v="1"/>
    <x v="38"/>
    <x v="4"/>
    <x v="1"/>
    <x v="2"/>
    <m/>
    <s v="214"/>
    <s v="Everyone Else"/>
    <n v="7"/>
    <s v="1st, 2nd, 3rd, 4th, 5th, 6th, 7th"/>
    <n v="47"/>
    <x v="1"/>
  </r>
  <r>
    <x v="1"/>
    <x v="38"/>
    <x v="4"/>
    <x v="24"/>
    <x v="4"/>
    <s v="2456639"/>
    <s v="121"/>
    <s v="Everyone Else"/>
    <n v="5"/>
    <s v="1st, 2nd, 3rd, 4th, 7th"/>
    <n v="13"/>
    <x v="12"/>
  </r>
  <r>
    <x v="1"/>
    <x v="38"/>
    <x v="4"/>
    <x v="26"/>
    <x v="1"/>
    <s v="2457872"/>
    <s v="142"/>
    <s v="Everyone Else"/>
    <n v="5"/>
    <s v="1st, 4th, 5th, 6th, 7th"/>
    <n v="9"/>
    <x v="13"/>
  </r>
  <r>
    <x v="1"/>
    <x v="39"/>
    <x v="0"/>
    <x v="75"/>
    <x v="13"/>
    <s v="2458600"/>
    <s v="230"/>
    <s v="Freshman Academy"/>
    <n v="5"/>
    <s v="2nd, 3rd, 4th, 5th, 7th"/>
    <n v="6"/>
    <x v="6"/>
  </r>
  <r>
    <x v="1"/>
    <x v="39"/>
    <x v="0"/>
    <x v="1"/>
    <x v="15"/>
    <m/>
    <s v="214"/>
    <s v="Everyone Else"/>
    <n v="7"/>
    <s v="1st, 2nd, 3rd, 4th, 5th, 6th, 7th"/>
    <n v="47"/>
    <x v="1"/>
  </r>
  <r>
    <x v="1"/>
    <x v="39"/>
    <x v="0"/>
    <x v="24"/>
    <x v="4"/>
    <s v="2456640"/>
    <s v="121"/>
    <s v="Everyone Else"/>
    <n v="5"/>
    <s v="1st, 2nd, 3rd, 4th, 7th"/>
    <n v="13"/>
    <x v="12"/>
  </r>
  <r>
    <x v="1"/>
    <x v="39"/>
    <x v="0"/>
    <x v="85"/>
    <x v="2"/>
    <s v="2458289"/>
    <s v="204"/>
    <s v="Everyone Else"/>
    <n v="5"/>
    <s v="1st, 2nd, 3rd, 6th, 7th"/>
    <n v="4"/>
    <x v="16"/>
  </r>
  <r>
    <x v="1"/>
    <x v="39"/>
    <x v="0"/>
    <x v="44"/>
    <x v="1"/>
    <s v="2458642"/>
    <s v="119"/>
    <s v="Everyone Else"/>
    <n v="5"/>
    <s v="1st, 2nd, 4th, 5th, 7th"/>
    <n v="13"/>
    <x v="12"/>
  </r>
  <r>
    <x v="1"/>
    <x v="39"/>
    <x v="0"/>
    <x v="86"/>
    <x v="15"/>
    <m/>
    <s v="118A"/>
    <s v="Everyone Else"/>
    <n v="5"/>
    <s v="1st, 3rd, 4th, 5th, 6th"/>
    <n v="3"/>
    <x v="17"/>
  </r>
  <r>
    <x v="2"/>
    <x v="40"/>
    <x v="1"/>
    <x v="41"/>
    <x v="10"/>
    <s v="2438717"/>
    <s v="217"/>
    <s v="Everyone Else"/>
    <n v="3"/>
    <s v="1st, 5th, 7th"/>
    <n v="10"/>
    <x v="2"/>
  </r>
  <r>
    <x v="2"/>
    <x v="40"/>
    <x v="1"/>
    <x v="7"/>
    <x v="2"/>
    <s v="2439902"/>
    <s v="209"/>
    <s v="Everyone Else"/>
    <n v="3"/>
    <s v="1st, 3rd, 5th"/>
    <n v="10"/>
    <x v="2"/>
  </r>
  <r>
    <x v="2"/>
    <x v="40"/>
    <x v="1"/>
    <x v="49"/>
    <x v="1"/>
    <s v="2457693"/>
    <s v="149"/>
    <s v="Everyone Else"/>
    <n v="4"/>
    <s v="1st, 3rd, 5th, 7th"/>
    <n v="7"/>
    <x v="8"/>
  </r>
  <r>
    <x v="2"/>
    <x v="40"/>
    <x v="1"/>
    <x v="1"/>
    <x v="4"/>
    <m/>
    <s v="214"/>
    <s v="Everyone Else"/>
    <n v="4"/>
    <s v="1st, 3rd, 5th, 7th"/>
    <n v="47"/>
    <x v="1"/>
  </r>
  <r>
    <x v="2"/>
    <x v="40"/>
    <x v="1"/>
    <x v="35"/>
    <x v="4"/>
    <s v="2458929"/>
    <s v="117"/>
    <s v="Everyone Else"/>
    <n v="3"/>
    <s v="3rd, 5th, 7th"/>
    <n v="10"/>
    <x v="2"/>
  </r>
  <r>
    <x v="2"/>
    <x v="40"/>
    <x v="1"/>
    <x v="87"/>
    <x v="15"/>
    <s v="2459124"/>
    <s v="129"/>
    <s v="Everyone Else"/>
    <n v="3"/>
    <s v="1st, 3rd, 5th"/>
    <n v="4"/>
    <x v="16"/>
  </r>
  <r>
    <x v="2"/>
    <x v="40"/>
    <x v="1"/>
    <x v="38"/>
    <x v="3"/>
    <s v="2459163"/>
    <s v="223"/>
    <s v="Everyone Else"/>
    <n v="3"/>
    <s v="1st, 3rd, 7th"/>
    <n v="5"/>
    <x v="0"/>
  </r>
  <r>
    <x v="2"/>
    <x v="40"/>
    <x v="1"/>
    <x v="50"/>
    <x v="13"/>
    <s v="2459206"/>
    <s v="Tea Room"/>
    <s v="Everyone Else"/>
    <n v="3"/>
    <s v="1st, 3rd, 5th"/>
    <n v="20"/>
    <x v="18"/>
  </r>
  <r>
    <x v="2"/>
    <x v="40"/>
    <x v="1"/>
    <x v="64"/>
    <x v="17"/>
    <s v="2459212"/>
    <s v="134/135"/>
    <s v="Everyone Else"/>
    <n v="3"/>
    <s v="1st, 5th, 7th"/>
    <n v="8"/>
    <x v="3"/>
  </r>
  <r>
    <x v="2"/>
    <x v="41"/>
    <x v="2"/>
    <x v="55"/>
    <x v="1"/>
    <s v="2442552"/>
    <s v="128"/>
    <s v="Everyone Else"/>
    <n v="3"/>
    <s v="CCR, 2nd, 4th"/>
    <n v="11"/>
    <x v="10"/>
  </r>
  <r>
    <x v="2"/>
    <x v="41"/>
    <x v="2"/>
    <x v="19"/>
    <x v="13"/>
    <s v="2455508"/>
    <s v="221"/>
    <s v="Everyone Else"/>
    <n v="3"/>
    <s v="CCR, 2nd, 6th"/>
    <n v="8"/>
    <x v="3"/>
  </r>
  <r>
    <x v="2"/>
    <x v="41"/>
    <x v="2"/>
    <x v="6"/>
    <x v="15"/>
    <s v="2458173"/>
    <s v="GYM"/>
    <s v="Everyone Else"/>
    <n v="3"/>
    <s v="CCR, 4th, 6th"/>
    <n v="6"/>
    <x v="6"/>
  </r>
  <r>
    <x v="2"/>
    <x v="41"/>
    <x v="2"/>
    <x v="88"/>
    <x v="2"/>
    <s v="2458426"/>
    <s v="219"/>
    <s v="Everyone Else"/>
    <n v="3"/>
    <s v="CCR, 2nd, 6th"/>
    <n v="6"/>
    <x v="6"/>
  </r>
  <r>
    <x v="2"/>
    <x v="41"/>
    <x v="2"/>
    <x v="79"/>
    <x v="3"/>
    <s v="2458739"/>
    <s v="216"/>
    <s v="Everyone Else"/>
    <n v="3"/>
    <s v="CCR, 2nd, 6th"/>
    <n v="5"/>
    <x v="0"/>
  </r>
  <r>
    <x v="2"/>
    <x v="41"/>
    <x v="2"/>
    <x v="45"/>
    <x v="4"/>
    <s v="2459703"/>
    <s v="124"/>
    <s v="Everyone Else"/>
    <n v="3"/>
    <s v="CCR, 4th, 6th"/>
    <n v="3"/>
    <x v="17"/>
  </r>
  <r>
    <x v="2"/>
    <x v="42"/>
    <x v="3"/>
    <x v="43"/>
    <x v="4"/>
    <s v="2460141"/>
    <s v="224"/>
    <s v="Freshman Academy"/>
    <n v="5"/>
    <s v="2nd, 3rd, 5th, 6th, 7th"/>
    <n v="8"/>
    <x v="3"/>
  </r>
  <r>
    <x v="2"/>
    <x v="42"/>
    <x v="3"/>
    <x v="72"/>
    <x v="13"/>
    <s v="2459851"/>
    <s v="145"/>
    <s v="Everyone Else"/>
    <n v="5"/>
    <s v="1st, 2nd, 3rd, 5th, 6th"/>
    <n v="5"/>
    <x v="0"/>
  </r>
  <r>
    <x v="2"/>
    <x v="42"/>
    <x v="3"/>
    <x v="50"/>
    <x v="3"/>
    <s v="2459907"/>
    <s v="Tea Room"/>
    <s v="Everyone Else"/>
    <n v="5"/>
    <s v="1st, 2nd, 3rd, 4th, 5th"/>
    <n v="20"/>
    <x v="18"/>
  </r>
  <r>
    <x v="2"/>
    <x v="42"/>
    <x v="3"/>
    <x v="25"/>
    <x v="1"/>
    <s v="2460192"/>
    <s v="210"/>
    <s v="Everyone Else"/>
    <n v="5"/>
    <s v="1st, 2nd, 3rd, 5th, 6th"/>
    <n v="11"/>
    <x v="10"/>
  </r>
  <r>
    <x v="2"/>
    <x v="42"/>
    <x v="3"/>
    <x v="89"/>
    <x v="2"/>
    <s v="2459989"/>
    <s v="115"/>
    <s v="Everyone Else"/>
    <n v="5"/>
    <s v="1st, 3rd, 4th, 6th, 7th"/>
    <n v="3"/>
    <x v="17"/>
  </r>
  <r>
    <x v="2"/>
    <x v="43"/>
    <x v="4"/>
    <x v="1"/>
    <x v="13"/>
    <m/>
    <s v="214"/>
    <s v="Everyone Else"/>
    <n v="7"/>
    <s v="1st, 2nd, 3rd, 4th, 5th, 6th, 7th"/>
    <n v="47"/>
    <x v="1"/>
  </r>
  <r>
    <x v="2"/>
    <x v="43"/>
    <x v="4"/>
    <x v="28"/>
    <x v="1"/>
    <s v="2458425"/>
    <s v="214"/>
    <s v="Everyone Else"/>
    <n v="5"/>
    <s v="1st, 2nd, 3rd, 4th, 7th"/>
    <n v="7"/>
    <x v="8"/>
  </r>
  <r>
    <x v="2"/>
    <x v="43"/>
    <x v="4"/>
    <x v="90"/>
    <x v="17"/>
    <s v="2460561"/>
    <s v="145"/>
    <s v="Everyone Else"/>
    <n v="5"/>
    <s v="1st, 2nd, 3rd, 5th, 6th"/>
    <n v="1"/>
    <x v="5"/>
  </r>
  <r>
    <x v="2"/>
    <x v="43"/>
    <x v="4"/>
    <x v="11"/>
    <x v="3"/>
    <s v="2460610"/>
    <s v="208"/>
    <s v="Everyone Else"/>
    <n v="5"/>
    <s v="1st, 2nd, 3rd, 5th, 6th"/>
    <n v="18"/>
    <x v="9"/>
  </r>
  <r>
    <x v="2"/>
    <x v="43"/>
    <x v="4"/>
    <x v="64"/>
    <x v="2"/>
    <s v="2460617"/>
    <s v="134/135"/>
    <s v="Everyone Else"/>
    <n v="5"/>
    <s v="1st, 2nd, 5th, 6th, 7th"/>
    <n v="8"/>
    <x v="3"/>
  </r>
  <r>
    <x v="2"/>
    <x v="43"/>
    <x v="4"/>
    <x v="36"/>
    <x v="4"/>
    <s v="2460561"/>
    <s v="163"/>
    <s v="Everyone Else"/>
    <n v="5"/>
    <s v="1st, 3rd, 4th, 6th, 7th"/>
    <n v="12"/>
    <x v="15"/>
  </r>
  <r>
    <x v="2"/>
    <x v="44"/>
    <x v="1"/>
    <x v="41"/>
    <x v="13"/>
    <s v="2437773"/>
    <s v="217"/>
    <s v="Everyone Else"/>
    <n v="3"/>
    <s v="1st, 5th, 7th"/>
    <n v="10"/>
    <x v="2"/>
  </r>
  <r>
    <x v="2"/>
    <x v="44"/>
    <x v="1"/>
    <x v="91"/>
    <x v="3"/>
    <s v="2454790"/>
    <s v="147"/>
    <s v="Everyone Else"/>
    <n v="3"/>
    <s v="1st, 5th, 7th"/>
    <n v="7"/>
    <x v="8"/>
  </r>
  <r>
    <x v="2"/>
    <x v="44"/>
    <x v="1"/>
    <x v="19"/>
    <x v="1"/>
    <s v="2455509"/>
    <s v="221"/>
    <s v="Everyone Else"/>
    <n v="3"/>
    <s v="1st, 3rd, 5th"/>
    <n v="8"/>
    <x v="3"/>
  </r>
  <r>
    <x v="2"/>
    <x v="44"/>
    <x v="1"/>
    <x v="36"/>
    <x v="4"/>
    <s v="2460561"/>
    <s v="163"/>
    <s v="Everyone Else"/>
    <n v="3"/>
    <s v="1st, 3rd, 7th"/>
    <n v="12"/>
    <x v="15"/>
  </r>
  <r>
    <x v="2"/>
    <x v="45"/>
    <x v="2"/>
    <x v="41"/>
    <x v="13"/>
    <s v="2437773"/>
    <s v="217"/>
    <s v="Everyone Else"/>
    <n v="3"/>
    <s v="CCR, 2nd, 6th"/>
    <n v="10"/>
    <x v="2"/>
  </r>
  <r>
    <x v="2"/>
    <x v="45"/>
    <x v="2"/>
    <x v="25"/>
    <x v="3"/>
    <m/>
    <s v="210"/>
    <s v="Everyone Else"/>
    <n v="4"/>
    <s v="CCR, 2nd, 4th, 6th"/>
    <n v="11"/>
    <x v="10"/>
  </r>
  <r>
    <x v="2"/>
    <x v="45"/>
    <x v="2"/>
    <x v="36"/>
    <x v="4"/>
    <s v="2461707"/>
    <s v="163"/>
    <s v="Everyone Else"/>
    <n v="4"/>
    <s v="CCR, 2nd, 4th, 6th"/>
    <n v="12"/>
    <x v="15"/>
  </r>
  <r>
    <x v="2"/>
    <x v="46"/>
    <x v="4"/>
    <x v="36"/>
    <x v="12"/>
    <s v="2462305"/>
    <s v="163"/>
    <s v="Everyone Else"/>
    <n v="4"/>
    <s v="1st, 3rd, 6th, 7th"/>
    <n v="12"/>
    <x v="15"/>
  </r>
  <r>
    <x v="2"/>
    <x v="46"/>
    <x v="4"/>
    <x v="24"/>
    <x v="4"/>
    <s v="2462447"/>
    <s v="121"/>
    <s v="Everyone Else"/>
    <n v="5"/>
    <s v="1st, 2nd, 3rd, 4th, 7th"/>
    <n v="13"/>
    <x v="12"/>
  </r>
  <r>
    <x v="2"/>
    <x v="46"/>
    <x v="4"/>
    <x v="87"/>
    <x v="3"/>
    <s v="2462534"/>
    <s v="127"/>
    <s v="Everyone Else"/>
    <n v="5"/>
    <s v="1st, 3rd, 4th, 5th, 6th"/>
    <n v="4"/>
    <x v="16"/>
  </r>
  <r>
    <x v="2"/>
    <x v="46"/>
    <x v="4"/>
    <x v="42"/>
    <x v="13"/>
    <s v="2462546"/>
    <s v="144"/>
    <s v="Everyone Else"/>
    <n v="5"/>
    <s v="1st, 4th, 5th, 6th, 7th"/>
    <n v="11"/>
    <x v="10"/>
  </r>
  <r>
    <x v="2"/>
    <x v="46"/>
    <x v="4"/>
    <x v="8"/>
    <x v="1"/>
    <s v="2461583"/>
    <s v="149"/>
    <s v="Everyone Else"/>
    <n v="7"/>
    <s v="1st, 2nd, 3rd, 4th, 5th, 6th, 7th"/>
    <n v="5"/>
    <x v="0"/>
  </r>
  <r>
    <x v="2"/>
    <x v="47"/>
    <x v="0"/>
    <x v="24"/>
    <x v="4"/>
    <s v="2462450"/>
    <s v="121"/>
    <s v="Everyone Else"/>
    <n v="2"/>
    <s v="1st, 7th"/>
    <n v="13"/>
    <x v="12"/>
  </r>
  <r>
    <x v="2"/>
    <x v="47"/>
    <x v="0"/>
    <x v="74"/>
    <x v="2"/>
    <s v="2462806"/>
    <s v="114"/>
    <s v="Everyone Else"/>
    <n v="3"/>
    <s v="1st, 6th, 7th"/>
    <n v="2"/>
    <x v="4"/>
  </r>
  <r>
    <x v="2"/>
    <x v="47"/>
    <x v="0"/>
    <x v="76"/>
    <x v="1"/>
    <s v="2463069"/>
    <s v="164"/>
    <s v="Everyone Else"/>
    <n v="2"/>
    <s v="1st, 6th"/>
    <n v="3"/>
    <x v="17"/>
  </r>
  <r>
    <x v="2"/>
    <x v="47"/>
    <x v="0"/>
    <x v="36"/>
    <x v="3"/>
    <s v="2463198"/>
    <s v="163"/>
    <s v="Everyone Else"/>
    <n v="3"/>
    <s v="1st, 6th, 7th"/>
    <n v="12"/>
    <x v="15"/>
  </r>
  <r>
    <x v="2"/>
    <x v="47"/>
    <x v="0"/>
    <x v="84"/>
    <x v="13"/>
    <s v="2463256"/>
    <s v="158"/>
    <s v="Everyone Else"/>
    <n v="2"/>
    <s v="1st, 7th"/>
    <n v="9"/>
    <x v="13"/>
  </r>
  <r>
    <x v="2"/>
    <x v="48"/>
    <x v="1"/>
    <x v="1"/>
    <x v="2"/>
    <m/>
    <s v="214"/>
    <s v="Everyone Else"/>
    <n v="4"/>
    <s v="1st, 3rd, 5th, 7th"/>
    <n v="47"/>
    <x v="1"/>
  </r>
  <r>
    <x v="2"/>
    <x v="48"/>
    <x v="1"/>
    <x v="84"/>
    <x v="19"/>
    <s v="2462273"/>
    <s v="158"/>
    <s v="Everyone Else"/>
    <n v="3"/>
    <s v="1st, 3rd, 7th"/>
    <n v="9"/>
    <x v="13"/>
  </r>
  <r>
    <x v="2"/>
    <x v="48"/>
    <x v="1"/>
    <x v="24"/>
    <x v="1"/>
    <s v="2463413"/>
    <s v="121"/>
    <s v="Everyone Else"/>
    <n v="3"/>
    <s v="1st, 3rd, 7th"/>
    <n v="13"/>
    <x v="12"/>
  </r>
  <r>
    <x v="2"/>
    <x v="48"/>
    <x v="1"/>
    <x v="9"/>
    <x v="12"/>
    <s v="2463713"/>
    <s v="162"/>
    <s v="Everyone Else"/>
    <n v="3"/>
    <s v="1st, 3rd, 7th"/>
    <n v="15"/>
    <x v="7"/>
  </r>
  <r>
    <x v="2"/>
    <x v="48"/>
    <x v="1"/>
    <x v="11"/>
    <x v="4"/>
    <s v="2463870"/>
    <s v="208"/>
    <s v="Everyone Else"/>
    <n v="3"/>
    <s v="1st, 3rd, 5th"/>
    <n v="18"/>
    <x v="9"/>
  </r>
  <r>
    <x v="2"/>
    <x v="49"/>
    <x v="2"/>
    <x v="88"/>
    <x v="1"/>
    <s v="2460323"/>
    <s v="219"/>
    <s v="Everyone Else"/>
    <n v="4"/>
    <s v="CCR, 2nd, 4th, 6th"/>
    <n v="6"/>
    <x v="6"/>
  </r>
  <r>
    <x v="2"/>
    <x v="49"/>
    <x v="2"/>
    <x v="24"/>
    <x v="4"/>
    <s v="2462453"/>
    <s v="121"/>
    <s v="Everyone Else"/>
    <n v="4"/>
    <s v="CCR, 2nd, 4th, 6th"/>
    <n v="13"/>
    <x v="12"/>
  </r>
  <r>
    <x v="2"/>
    <x v="49"/>
    <x v="2"/>
    <x v="92"/>
    <x v="3"/>
    <s v="2463496"/>
    <s v="229"/>
    <s v="Everyone Else"/>
    <n v="4"/>
    <s v="CCR, 2nd, 4th, 6th"/>
    <n v="1"/>
    <x v="5"/>
  </r>
  <r>
    <x v="2"/>
    <x v="49"/>
    <x v="2"/>
    <x v="46"/>
    <x v="3"/>
    <s v="2464339"/>
    <m/>
    <s v="Everyone Else"/>
    <n v="4"/>
    <s v="CCR, 2nd, 4th, 6th"/>
    <n v="3"/>
    <x v="17"/>
  </r>
  <r>
    <x v="2"/>
    <x v="49"/>
    <x v="2"/>
    <x v="36"/>
    <x v="2"/>
    <s v="2464351"/>
    <s v="163"/>
    <s v="Everyone Else"/>
    <n v="4"/>
    <s v="CCR, 2nd, 4th, 6th"/>
    <n v="12"/>
    <x v="15"/>
  </r>
  <r>
    <x v="2"/>
    <x v="49"/>
    <x v="2"/>
    <x v="93"/>
    <x v="15"/>
    <s v="2464376"/>
    <s v="111"/>
    <s v="Everyone Else"/>
    <n v="4"/>
    <s v="CCR, 2nd, 4th, 6th"/>
    <n v="2"/>
    <x v="4"/>
  </r>
  <r>
    <x v="2"/>
    <x v="49"/>
    <x v="2"/>
    <x v="11"/>
    <x v="13"/>
    <s v="2464419"/>
    <s v="208"/>
    <s v="Everyone Else"/>
    <n v="4"/>
    <s v="CCR, 2nd, 4th, 6th"/>
    <n v="18"/>
    <x v="9"/>
  </r>
  <r>
    <x v="2"/>
    <x v="49"/>
    <x v="2"/>
    <x v="19"/>
    <x v="15"/>
    <m/>
    <s v="221"/>
    <s v="Everyone Else"/>
    <n v="4"/>
    <s v="CCR, 2nd, 4th, 6th"/>
    <n v="8"/>
    <x v="3"/>
  </r>
  <r>
    <x v="2"/>
    <x v="50"/>
    <x v="3"/>
    <x v="2"/>
    <x v="2"/>
    <s v="2462383"/>
    <s v="136"/>
    <s v="Freshman Academy"/>
    <n v="5"/>
    <s v="2nd, 3rd, 4th, 5th, 7th"/>
    <n v="10"/>
    <x v="2"/>
  </r>
  <r>
    <x v="2"/>
    <x v="50"/>
    <x v="3"/>
    <x v="35"/>
    <x v="1"/>
    <s v="2464772"/>
    <s v="117"/>
    <s v="Freshman Academy"/>
    <n v="5"/>
    <s v="3rd, 4th, 5th, 6th, 7th"/>
    <n v="10"/>
    <x v="2"/>
  </r>
  <r>
    <x v="2"/>
    <x v="50"/>
    <x v="3"/>
    <x v="1"/>
    <x v="15"/>
    <s v="2465064"/>
    <s v="214"/>
    <s v="Everyone Else"/>
    <n v="7"/>
    <s v="1st, 2nd, 3rd, 4th, 5th, 6th, 7th"/>
    <n v="47"/>
    <x v="1"/>
  </r>
  <r>
    <x v="2"/>
    <x v="50"/>
    <x v="3"/>
    <x v="24"/>
    <x v="13"/>
    <s v="2463415"/>
    <s v="121"/>
    <s v="Everyone Else"/>
    <n v="5"/>
    <s v="1st, 2nd, 3rd, 4th, 7th"/>
    <n v="13"/>
    <x v="12"/>
  </r>
  <r>
    <x v="2"/>
    <x v="50"/>
    <x v="3"/>
    <x v="36"/>
    <x v="3"/>
    <s v="2464845"/>
    <s v="163"/>
    <s v="Everyone Else"/>
    <n v="5"/>
    <s v="1st, 3rd, 4th, 6th, 7th"/>
    <n v="12"/>
    <x v="15"/>
  </r>
  <r>
    <x v="2"/>
    <x v="50"/>
    <x v="3"/>
    <x v="79"/>
    <x v="4"/>
    <s v="2465023"/>
    <s v="216"/>
    <s v="Everyone Else"/>
    <n v="5"/>
    <s v="1st, 2nd, 5th, 6th, 7th"/>
    <n v="5"/>
    <x v="0"/>
  </r>
  <r>
    <x v="2"/>
    <x v="51"/>
    <x v="4"/>
    <x v="34"/>
    <x v="3"/>
    <s v="246567"/>
    <s v="229"/>
    <s v="Freshman Academy"/>
    <n v="5"/>
    <s v="3rd, 4th, 5th, 6th, 7th"/>
    <n v="19"/>
    <x v="14"/>
  </r>
  <r>
    <x v="2"/>
    <x v="51"/>
    <x v="4"/>
    <x v="1"/>
    <x v="3"/>
    <m/>
    <s v="214"/>
    <s v="Everyone Else"/>
    <n v="7"/>
    <s v="1st, 2nd, 3rd, 4th, 5th, 6th, 7th"/>
    <n v="47"/>
    <x v="1"/>
  </r>
  <r>
    <x v="2"/>
    <x v="51"/>
    <x v="4"/>
    <x v="60"/>
    <x v="2"/>
    <s v="2465500"/>
    <s v="122"/>
    <s v="Everyone Else"/>
    <n v="5"/>
    <s v="1st, 2nd, 3rd, 4th, 7th"/>
    <n v="8"/>
    <x v="3"/>
  </r>
  <r>
    <x v="2"/>
    <x v="51"/>
    <x v="4"/>
    <x v="22"/>
    <x v="4"/>
    <s v="2465666"/>
    <s v="109"/>
    <s v="Everyone Else"/>
    <n v="5"/>
    <s v="1st, 2nd, 3rd, 4th, 5th"/>
    <n v="17"/>
    <x v="11"/>
  </r>
  <r>
    <x v="2"/>
    <x v="52"/>
    <x v="0"/>
    <x v="38"/>
    <x v="2"/>
    <s v="2466055"/>
    <s v="223"/>
    <s v="Everyone Else"/>
    <n v="5"/>
    <s v="1st, 2nd, 3rd, 6th, 7th"/>
    <n v="5"/>
    <x v="0"/>
  </r>
  <r>
    <x v="2"/>
    <x v="52"/>
    <x v="0"/>
    <x v="94"/>
    <x v="13"/>
    <s v="2466070"/>
    <s v="114"/>
    <s v="Everyone Else"/>
    <n v="5"/>
    <s v="1st, 4th, 5th, 6th, 7th"/>
    <n v="1"/>
    <x v="5"/>
  </r>
  <r>
    <x v="2"/>
    <x v="52"/>
    <x v="0"/>
    <x v="15"/>
    <x v="3"/>
    <s v="2466155"/>
    <s v="165"/>
    <s v="Everyone Else"/>
    <n v="5"/>
    <s v="1st, 2nd, 3rd, 4th, 5th"/>
    <n v="6"/>
    <x v="6"/>
  </r>
  <r>
    <x v="2"/>
    <x v="52"/>
    <x v="0"/>
    <x v="25"/>
    <x v="1"/>
    <s v="2466251"/>
    <s v="210"/>
    <s v="Everyone Else"/>
    <n v="5"/>
    <s v="1st, 2nd, 3rd, 5th, 6th"/>
    <n v="11"/>
    <x v="10"/>
  </r>
  <r>
    <x v="2"/>
    <x v="53"/>
    <x v="1"/>
    <x v="1"/>
    <x v="15"/>
    <m/>
    <s v="214"/>
    <s v="Everyone Else"/>
    <n v="4"/>
    <s v="1st, 3rd, 5th, 7th"/>
    <n v="47"/>
    <x v="1"/>
  </r>
  <r>
    <x v="2"/>
    <x v="53"/>
    <x v="1"/>
    <x v="46"/>
    <x v="15"/>
    <s v="2465884"/>
    <s v="Gym"/>
    <s v="Everyone Else"/>
    <n v="4"/>
    <s v="1st, 3rd, 5th, 7th"/>
    <n v="3"/>
    <x v="17"/>
  </r>
  <r>
    <x v="2"/>
    <x v="53"/>
    <x v="1"/>
    <x v="80"/>
    <x v="13"/>
    <s v="2466316"/>
    <s v="225"/>
    <s v="Everyone Else"/>
    <n v="4"/>
    <s v="1st, 3rd, 5th, 7th"/>
    <n v="5"/>
    <x v="0"/>
  </r>
  <r>
    <x v="2"/>
    <x v="53"/>
    <x v="1"/>
    <x v="78"/>
    <x v="4"/>
    <s v="2466573"/>
    <s v="147"/>
    <s v="Everyone Else"/>
    <n v="4"/>
    <s v="1st, 3rd, 5th, 7th"/>
    <n v="2"/>
    <x v="4"/>
  </r>
  <r>
    <x v="2"/>
    <x v="53"/>
    <x v="1"/>
    <x v="28"/>
    <x v="2"/>
    <s v="2466771"/>
    <s v="215"/>
    <s v="Everyone Else"/>
    <n v="4"/>
    <s v="1st, 3rd, 5th, 7th"/>
    <n v="7"/>
    <x v="8"/>
  </r>
  <r>
    <x v="2"/>
    <x v="53"/>
    <x v="1"/>
    <x v="85"/>
    <x v="3"/>
    <s v="2466788"/>
    <s v="204"/>
    <s v="Everyone Else"/>
    <n v="4"/>
    <s v="1st, 3rd, 5th, 7th"/>
    <n v="4"/>
    <x v="16"/>
  </r>
  <r>
    <x v="2"/>
    <x v="53"/>
    <x v="1"/>
    <x v="64"/>
    <x v="1"/>
    <s v="2466809"/>
    <s v="134/135"/>
    <s v="Everyone Else"/>
    <n v="4"/>
    <s v="1st, 3rd, 5th, 7th"/>
    <n v="8"/>
    <x v="3"/>
  </r>
  <r>
    <x v="2"/>
    <x v="54"/>
    <x v="2"/>
    <x v="49"/>
    <x v="1"/>
    <s v="2454846"/>
    <s v="149"/>
    <s v="Everyone Else"/>
    <n v="4"/>
    <s v="CCR, 2nd, 4th, 6th"/>
    <n v="7"/>
    <x v="8"/>
  </r>
  <r>
    <x v="2"/>
    <x v="54"/>
    <x v="2"/>
    <x v="88"/>
    <x v="13"/>
    <s v="2456959"/>
    <s v="219"/>
    <s v="Everyone Else"/>
    <n v="3"/>
    <s v="CCR, 2nd, 6th"/>
    <n v="6"/>
    <x v="6"/>
  </r>
  <r>
    <x v="2"/>
    <x v="54"/>
    <x v="2"/>
    <x v="47"/>
    <x v="2"/>
    <s v="2464520"/>
    <s v="209"/>
    <s v="Everyone Else"/>
    <n v="3"/>
    <s v="CCR, 2nd, 6th"/>
    <n v="5"/>
    <x v="0"/>
  </r>
  <r>
    <x v="2"/>
    <x v="54"/>
    <x v="2"/>
    <x v="95"/>
    <x v="3"/>
    <s v="2464176"/>
    <s v="224"/>
    <s v="Everyone Else"/>
    <n v="3"/>
    <s v="CCR, 2nd, 6th"/>
    <n v="1"/>
    <x v="5"/>
  </r>
  <r>
    <x v="2"/>
    <x v="54"/>
    <x v="2"/>
    <x v="96"/>
    <x v="4"/>
    <s v="2467197"/>
    <s v="139"/>
    <s v="Everyone Else"/>
    <n v="3"/>
    <s v="CCR, 2nd, 6th"/>
    <n v="1"/>
    <x v="5"/>
  </r>
  <r>
    <x v="2"/>
    <x v="54"/>
    <x v="2"/>
    <x v="97"/>
    <x v="15"/>
    <m/>
    <s v="112"/>
    <s v="Everyone Else"/>
    <n v="4"/>
    <s v="CCR, 2nd, 4th, 6th"/>
    <n v="1"/>
    <x v="5"/>
  </r>
  <r>
    <x v="3"/>
    <x v="55"/>
    <x v="4"/>
    <x v="32"/>
    <x v="1"/>
    <s v="2467906"/>
    <s v="232"/>
    <s v="Freshman Academy"/>
    <n v="5"/>
    <s v="2nd, 3rd, 5th, 6th, 7th"/>
    <n v="5"/>
    <x v="0"/>
  </r>
  <r>
    <x v="3"/>
    <x v="55"/>
    <x v="4"/>
    <x v="34"/>
    <x v="2"/>
    <s v="2468155"/>
    <s v="229"/>
    <s v="Freshman Academy"/>
    <n v="5"/>
    <s v="3rd, 4th, 5th, 6th, 7th"/>
    <n v="19"/>
    <x v="14"/>
  </r>
  <r>
    <x v="3"/>
    <x v="55"/>
    <x v="4"/>
    <x v="98"/>
    <x v="20"/>
    <s v="2459150"/>
    <s v="109"/>
    <s v="Everyone Else"/>
    <n v="5"/>
    <s v="1st, 2nd, 3rd, 4th, 5th"/>
    <n v="1"/>
    <x v="5"/>
  </r>
  <r>
    <x v="3"/>
    <x v="55"/>
    <x v="4"/>
    <x v="99"/>
    <x v="3"/>
    <s v="2462803"/>
    <s v="124"/>
    <s v="Everyone Else"/>
    <n v="5"/>
    <s v="1st, 3rd, 4th, 6th, 7th"/>
    <n v="1"/>
    <x v="5"/>
  </r>
  <r>
    <x v="3"/>
    <x v="55"/>
    <x v="4"/>
    <x v="44"/>
    <x v="13"/>
    <s v="2467367"/>
    <s v="119"/>
    <s v="Everyone Else"/>
    <n v="5"/>
    <s v="1st, 2nd, 4th, 5th, 7th"/>
    <n v="13"/>
    <x v="12"/>
  </r>
  <r>
    <x v="3"/>
    <x v="55"/>
    <x v="4"/>
    <x v="50"/>
    <x v="17"/>
    <s v="2467942"/>
    <s v="Tea Room"/>
    <s v="Everyone Else"/>
    <n v="5"/>
    <s v="1st, 2nd, 3rd, 4th, 5th"/>
    <n v="20"/>
    <x v="18"/>
  </r>
  <r>
    <x v="3"/>
    <x v="55"/>
    <x v="4"/>
    <x v="11"/>
    <x v="15"/>
    <s v="2468064"/>
    <s v="208"/>
    <s v="Everyone Else"/>
    <n v="5"/>
    <s v="1st, 2nd, 3rd, 5th, 6th"/>
    <n v="18"/>
    <x v="9"/>
  </r>
  <r>
    <x v="3"/>
    <x v="56"/>
    <x v="0"/>
    <x v="32"/>
    <x v="4"/>
    <s v="2468534"/>
    <s v="232"/>
    <s v="Freshman Academy"/>
    <n v="5"/>
    <s v="2nd, 3rd, 5th, 6th, 7th"/>
    <n v="5"/>
    <x v="0"/>
  </r>
  <r>
    <x v="3"/>
    <x v="56"/>
    <x v="0"/>
    <x v="34"/>
    <x v="13"/>
    <s v="2468713"/>
    <s v="229"/>
    <s v="Freshman Academy"/>
    <n v="5"/>
    <s v="3rd, 4th, 5th, 6th, 7th"/>
    <n v="19"/>
    <x v="14"/>
  </r>
  <r>
    <x v="3"/>
    <x v="56"/>
    <x v="0"/>
    <x v="1"/>
    <x v="2"/>
    <s v="2468368"/>
    <s v="214"/>
    <s v="Freshman Academy"/>
    <n v="7"/>
    <s v="1st, 2nd, 3rd, 4th, 5th, 6th, 7th"/>
    <n v="47"/>
    <x v="1"/>
  </r>
  <r>
    <x v="3"/>
    <x v="56"/>
    <x v="0"/>
    <x v="50"/>
    <x v="17"/>
    <s v="2467942"/>
    <s v="Tea Room"/>
    <s v="Freshman Academy"/>
    <n v="5"/>
    <s v="1st, 2nd, 3rd, 4th, 5th"/>
    <n v="20"/>
    <x v="18"/>
  </r>
  <r>
    <x v="3"/>
    <x v="56"/>
    <x v="0"/>
    <x v="100"/>
    <x v="1"/>
    <s v="2468331"/>
    <s v="149"/>
    <s v="Freshman Academy"/>
    <n v="7"/>
    <s v="1st, 2nd, 3rd, 4th, 5th, 6th, 7th"/>
    <n v="2"/>
    <x v="4"/>
  </r>
  <r>
    <x v="3"/>
    <x v="56"/>
    <x v="0"/>
    <x v="71"/>
    <x v="1"/>
    <m/>
    <m/>
    <s v="Freshman Academy"/>
    <n v="7"/>
    <s v="1st, 2nd, 3rd, 4th, 5th, 6th, 7th"/>
    <n v="2"/>
    <x v="4"/>
  </r>
  <r>
    <x v="3"/>
    <x v="56"/>
    <x v="0"/>
    <x v="101"/>
    <x v="2"/>
    <s v="2468685"/>
    <s v="162"/>
    <s v="Freshman Academy"/>
    <n v="5"/>
    <s v="1st, 2nd, 3rd, 4th, 7th"/>
    <n v="1"/>
    <x v="5"/>
  </r>
  <r>
    <x v="3"/>
    <x v="56"/>
    <x v="0"/>
    <x v="11"/>
    <x v="3"/>
    <s v="2468777"/>
    <s v="208"/>
    <s v="Freshman Academy"/>
    <n v="5"/>
    <s v="1st, 2nd, 3rd, 5th, 6th"/>
    <n v="18"/>
    <x v="9"/>
  </r>
  <r>
    <x v="3"/>
    <x v="57"/>
    <x v="1"/>
    <x v="1"/>
    <x v="13"/>
    <s v="2468359"/>
    <s v="214"/>
    <s v="Everyone Else"/>
    <n v="4"/>
    <s v="1st, 3rd, 5th, 7th"/>
    <n v="47"/>
    <x v="1"/>
  </r>
  <r>
    <x v="3"/>
    <x v="57"/>
    <x v="1"/>
    <x v="50"/>
    <x v="17"/>
    <s v="2469276"/>
    <s v="Tea Room"/>
    <s v="Everyone Else"/>
    <n v="3"/>
    <s v="1st, 3rd, 5th"/>
    <n v="20"/>
    <x v="18"/>
  </r>
  <r>
    <x v="3"/>
    <x v="57"/>
    <x v="1"/>
    <x v="27"/>
    <x v="1"/>
    <s v="2469321"/>
    <s v="107"/>
    <s v="Everyone Else"/>
    <n v="3"/>
    <s v="1st, 3rd, 7th"/>
    <n v="11"/>
    <x v="10"/>
  </r>
  <r>
    <x v="3"/>
    <x v="57"/>
    <x v="1"/>
    <x v="22"/>
    <x v="3"/>
    <s v="2469357"/>
    <s v="109"/>
    <s v="Everyone Else"/>
    <n v="3"/>
    <s v="1st, 3rd, 5th"/>
    <n v="17"/>
    <x v="11"/>
  </r>
  <r>
    <x v="3"/>
    <x v="57"/>
    <x v="1"/>
    <x v="43"/>
    <x v="4"/>
    <m/>
    <s v="224"/>
    <s v="Everyone Else"/>
    <n v="4"/>
    <s v="1st, 3rd, 5th, 7th"/>
    <n v="8"/>
    <x v="3"/>
  </r>
  <r>
    <x v="3"/>
    <x v="57"/>
    <x v="1"/>
    <x v="34"/>
    <x v="13"/>
    <m/>
    <s v="229"/>
    <s v="Everyone Else"/>
    <n v="4"/>
    <s v="1st, 3rd, 5th, 7th"/>
    <n v="19"/>
    <x v="14"/>
  </r>
  <r>
    <x v="3"/>
    <x v="57"/>
    <x v="1"/>
    <x v="102"/>
    <x v="4"/>
    <m/>
    <s v="220"/>
    <s v="Everyone Else"/>
    <n v="4"/>
    <s v="1st, 3rd, 5th, 7th"/>
    <n v="3"/>
    <x v="17"/>
  </r>
  <r>
    <x v="3"/>
    <x v="58"/>
    <x v="2"/>
    <x v="103"/>
    <x v="4"/>
    <s v="2465373"/>
    <s v="141"/>
    <s v="Everyone Else"/>
    <n v="3"/>
    <s v="CCR, 4th, 6th"/>
    <n v="1"/>
    <x v="5"/>
  </r>
  <r>
    <x v="3"/>
    <x v="58"/>
    <x v="2"/>
    <x v="104"/>
    <x v="4"/>
    <m/>
    <s v="104"/>
    <s v="Everyone Else"/>
    <n v="3"/>
    <s v="CCR, 2nd, 4th"/>
    <n v="1"/>
    <x v="5"/>
  </r>
  <r>
    <x v="3"/>
    <x v="58"/>
    <x v="2"/>
    <x v="50"/>
    <x v="2"/>
    <s v="2467943"/>
    <s v="Tea Room"/>
    <s v="Everyone Else"/>
    <n v="3"/>
    <s v="CCR, 2nd, 4th"/>
    <n v="20"/>
    <x v="18"/>
  </r>
  <r>
    <x v="3"/>
    <x v="58"/>
    <x v="2"/>
    <x v="9"/>
    <x v="13"/>
    <s v="2468514"/>
    <s v="162"/>
    <s v="Everyone Else"/>
    <n v="3"/>
    <s v="CCR, 2nd, 4th"/>
    <n v="15"/>
    <x v="7"/>
  </r>
  <r>
    <x v="3"/>
    <x v="58"/>
    <x v="2"/>
    <x v="30"/>
    <x v="3"/>
    <m/>
    <s v="213"/>
    <s v="Everyone Else"/>
    <n v="3"/>
    <s v="CCR, 4th, 6th"/>
    <n v="8"/>
    <x v="3"/>
  </r>
  <r>
    <x v="3"/>
    <x v="58"/>
    <x v="2"/>
    <x v="105"/>
    <x v="1"/>
    <m/>
    <s v="223"/>
    <s v="Everyone Else"/>
    <n v="3"/>
    <s v="CCR, 2nd, 6th"/>
    <n v="1"/>
    <x v="5"/>
  </r>
  <r>
    <x v="3"/>
    <x v="59"/>
    <x v="3"/>
    <x v="102"/>
    <x v="2"/>
    <s v="2469678"/>
    <s v="220"/>
    <s v="Freshman Academy"/>
    <n v="5"/>
    <s v="2nd, 3rd, 4th, 5th, 7th"/>
    <n v="3"/>
    <x v="17"/>
  </r>
  <r>
    <x v="3"/>
    <x v="59"/>
    <x v="3"/>
    <x v="106"/>
    <x v="4"/>
    <s v="2470046"/>
    <s v="230"/>
    <s v="Freshman Academy"/>
    <n v="5"/>
    <s v="2nd, 3rd, 4th, 5th, 7th"/>
    <n v="1"/>
    <x v="5"/>
  </r>
  <r>
    <x v="3"/>
    <x v="59"/>
    <x v="3"/>
    <x v="1"/>
    <x v="4"/>
    <s v="2440349"/>
    <s v="214"/>
    <s v="Everyone Else"/>
    <n v="7"/>
    <s v="1st, 2nd, 3rd, 4th, 5th, 6th, 7th"/>
    <n v="47"/>
    <x v="1"/>
  </r>
  <r>
    <x v="3"/>
    <x v="59"/>
    <x v="3"/>
    <x v="55"/>
    <x v="1"/>
    <s v="2443060"/>
    <s v="128"/>
    <s v="Everyone Else"/>
    <n v="5"/>
    <s v="1st, 2nd, 4th, 5th, 7th"/>
    <n v="11"/>
    <x v="10"/>
  </r>
  <r>
    <x v="3"/>
    <x v="59"/>
    <x v="3"/>
    <x v="24"/>
    <x v="3"/>
    <s v="2467711"/>
    <s v="121"/>
    <s v="Everyone Else"/>
    <n v="5"/>
    <s v="1st, 2nd, 3rd, 4th, 7th"/>
    <n v="13"/>
    <x v="12"/>
  </r>
  <r>
    <x v="3"/>
    <x v="59"/>
    <x v="3"/>
    <x v="9"/>
    <x v="13"/>
    <s v="2468514"/>
    <s v="162"/>
    <s v="Everyone Else"/>
    <n v="5"/>
    <s v="1st, 2nd, 3rd, 4th, 7th"/>
    <n v="15"/>
    <x v="7"/>
  </r>
  <r>
    <x v="3"/>
    <x v="60"/>
    <x v="4"/>
    <x v="2"/>
    <x v="1"/>
    <s v="2470970"/>
    <s v="136"/>
    <s v="Freshman Academy"/>
    <n v="5"/>
    <s v="2nd, 3rd, 4th, 5th, 7th"/>
    <n v="10"/>
    <x v="2"/>
  </r>
  <r>
    <x v="3"/>
    <x v="60"/>
    <x v="4"/>
    <x v="75"/>
    <x v="15"/>
    <s v="2471007"/>
    <s v="230"/>
    <s v="Freshman Academy"/>
    <n v="5"/>
    <s v="2nd, 3rd, 4th, 5th, 7th"/>
    <n v="6"/>
    <x v="6"/>
  </r>
  <r>
    <x v="3"/>
    <x v="60"/>
    <x v="4"/>
    <x v="1"/>
    <x v="13"/>
    <s v="2468369"/>
    <s v="214"/>
    <s v="Everyone Else"/>
    <n v="7"/>
    <s v="1st, 2nd, 3rd, 4th, 5th, 6th, 7th"/>
    <n v="47"/>
    <x v="1"/>
  </r>
  <r>
    <x v="3"/>
    <x v="60"/>
    <x v="4"/>
    <x v="11"/>
    <x v="8"/>
    <s v="2470816"/>
    <s v="208"/>
    <s v="Everyone Else"/>
    <n v="5"/>
    <s v="1st, 2nd, 3rd, 5th, 6th"/>
    <n v="18"/>
    <x v="9"/>
  </r>
  <r>
    <x v="3"/>
    <x v="60"/>
    <x v="4"/>
    <x v="26"/>
    <x v="4"/>
    <s v="2470892"/>
    <s v="142"/>
    <s v="Everyone Else"/>
    <n v="5"/>
    <s v="1st, 4th, 5th, 6th, 7th"/>
    <n v="9"/>
    <x v="13"/>
  </r>
  <r>
    <x v="3"/>
    <x v="60"/>
    <x v="4"/>
    <x v="14"/>
    <x v="2"/>
    <s v="2470943"/>
    <s v="110"/>
    <s v="Everyone Else"/>
    <n v="5"/>
    <s v="1st, 2nd, 3rd, 6th, 7th"/>
    <n v="7"/>
    <x v="8"/>
  </r>
  <r>
    <x v="3"/>
    <x v="61"/>
    <x v="1"/>
    <x v="1"/>
    <x v="13"/>
    <s v="2468369"/>
    <s v="214"/>
    <s v="Everyone Else"/>
    <n v="4"/>
    <s v="1st, 3rd, 5th, 7th"/>
    <n v="47"/>
    <x v="1"/>
  </r>
  <r>
    <x v="3"/>
    <x v="61"/>
    <x v="1"/>
    <x v="107"/>
    <x v="21"/>
    <s v="2471499"/>
    <s v="225"/>
    <s v="Everyone Else"/>
    <n v="4"/>
    <s v="1st, 3rd, 5th, 7th"/>
    <n v="1"/>
    <x v="5"/>
  </r>
  <r>
    <x v="3"/>
    <x v="61"/>
    <x v="1"/>
    <x v="51"/>
    <x v="2"/>
    <s v="2471564"/>
    <s v="111"/>
    <s v="Everyone Else"/>
    <n v="3"/>
    <s v="1st, 5th, 7th"/>
    <n v="8"/>
    <x v="3"/>
  </r>
  <r>
    <x v="3"/>
    <x v="61"/>
    <x v="1"/>
    <x v="25"/>
    <x v="3"/>
    <s v="2471674"/>
    <s v="210"/>
    <s v="Everyone Else"/>
    <n v="3"/>
    <s v="1st, 3rd, 5th"/>
    <n v="11"/>
    <x v="10"/>
  </r>
  <r>
    <x v="3"/>
    <x v="61"/>
    <x v="1"/>
    <x v="15"/>
    <x v="4"/>
    <s v="2471706"/>
    <s v="165"/>
    <s v="Everyone Else"/>
    <n v="3"/>
    <s v="1st, 3rd, 5th"/>
    <n v="6"/>
    <x v="6"/>
  </r>
  <r>
    <x v="3"/>
    <x v="61"/>
    <x v="1"/>
    <x v="34"/>
    <x v="1"/>
    <s v="2471717"/>
    <s v="229"/>
    <s v="Everyone Else"/>
    <n v="3"/>
    <s v="3rd, 5th, 7th"/>
    <n v="19"/>
    <x v="14"/>
  </r>
  <r>
    <x v="3"/>
    <x v="62"/>
    <x v="2"/>
    <x v="10"/>
    <x v="3"/>
    <s v="2468959"/>
    <s v="118"/>
    <s v="Everyone Else"/>
    <n v="3"/>
    <s v="CCR, 2nd, 6th"/>
    <n v="7"/>
    <x v="8"/>
  </r>
  <r>
    <x v="3"/>
    <x v="62"/>
    <x v="2"/>
    <x v="108"/>
    <x v="8"/>
    <s v="2470843"/>
    <s v="122"/>
    <s v="Everyone Else"/>
    <n v="3"/>
    <s v="CCR, 2nd, 4th"/>
    <n v="1"/>
    <x v="5"/>
  </r>
  <r>
    <x v="3"/>
    <x v="62"/>
    <x v="2"/>
    <x v="100"/>
    <x v="1"/>
    <s v="2471511"/>
    <s v="149"/>
    <s v="Everyone Else"/>
    <n v="4"/>
    <s v="CCR, 2nd, 4th, 6th"/>
    <n v="2"/>
    <x v="4"/>
  </r>
  <r>
    <x v="3"/>
    <x v="62"/>
    <x v="2"/>
    <x v="43"/>
    <x v="13"/>
    <s v="2471868"/>
    <s v="224"/>
    <s v="Everyone Else"/>
    <n v="4"/>
    <s v="CCR, 2nd, 4th, 6th"/>
    <n v="8"/>
    <x v="3"/>
  </r>
  <r>
    <x v="3"/>
    <x v="62"/>
    <x v="2"/>
    <x v="9"/>
    <x v="15"/>
    <s v="2472168"/>
    <s v="162"/>
    <s v="Everyone Else"/>
    <n v="3"/>
    <s v="CCR, 2nd, 4th"/>
    <n v="15"/>
    <x v="7"/>
  </r>
  <r>
    <x v="3"/>
    <x v="62"/>
    <x v="2"/>
    <x v="84"/>
    <x v="4"/>
    <s v="2472328"/>
    <s v="158"/>
    <s v="Everyone Else"/>
    <n v="3"/>
    <s v="CCR, 2nd, 4th"/>
    <n v="9"/>
    <x v="13"/>
  </r>
  <r>
    <x v="3"/>
    <x v="62"/>
    <x v="2"/>
    <x v="34"/>
    <x v="2"/>
    <s v="2472353"/>
    <s v="229"/>
    <s v="Everyone Else"/>
    <n v="3"/>
    <s v="CCR, 4th, 6th"/>
    <n v="19"/>
    <x v="14"/>
  </r>
  <r>
    <x v="3"/>
    <x v="63"/>
    <x v="3"/>
    <x v="34"/>
    <x v="3"/>
    <s v="2472881"/>
    <s v="229"/>
    <s v="Freshman Academy"/>
    <n v="5"/>
    <s v="3rd, 4th, 5th, 6th, 7th"/>
    <n v="19"/>
    <x v="14"/>
  </r>
  <r>
    <x v="3"/>
    <x v="63"/>
    <x v="3"/>
    <x v="1"/>
    <x v="15"/>
    <s v="2469110"/>
    <s v="214"/>
    <s v="Everyone Else"/>
    <n v="7"/>
    <s v="1st, 2nd, 3rd, 4th, 5th, 6th, 7th"/>
    <n v="47"/>
    <x v="1"/>
  </r>
  <r>
    <x v="3"/>
    <x v="63"/>
    <x v="3"/>
    <x v="84"/>
    <x v="4"/>
    <s v="2469118"/>
    <s v="158"/>
    <s v="Everyone Else"/>
    <n v="5"/>
    <s v="1st, 2nd, 3rd, 4th, 7th"/>
    <n v="9"/>
    <x v="13"/>
  </r>
  <r>
    <x v="3"/>
    <x v="63"/>
    <x v="3"/>
    <x v="25"/>
    <x v="1"/>
    <s v="2469451"/>
    <s v="210"/>
    <s v="Everyone Else"/>
    <n v="5"/>
    <s v="1st, 2nd, 3rd, 5th, 6th"/>
    <n v="11"/>
    <x v="10"/>
  </r>
  <r>
    <x v="3"/>
    <x v="63"/>
    <x v="3"/>
    <x v="7"/>
    <x v="13"/>
    <s v="2472215"/>
    <s v="209"/>
    <s v="Everyone Else"/>
    <n v="5"/>
    <s v="1st, 2nd, 3rd, 5th, 6th"/>
    <n v="10"/>
    <x v="2"/>
  </r>
  <r>
    <x v="3"/>
    <x v="63"/>
    <x v="3"/>
    <x v="27"/>
    <x v="2"/>
    <s v="2472848"/>
    <s v="107"/>
    <s v="Everyone Else"/>
    <n v="5"/>
    <s v="1st, 2nd, 3rd, 6th, 7th"/>
    <n v="11"/>
    <x v="10"/>
  </r>
  <r>
    <x v="3"/>
    <x v="63"/>
    <x v="3"/>
    <x v="109"/>
    <x v="15"/>
    <m/>
    <s v="149"/>
    <s v="Everyone Else"/>
    <n v="7"/>
    <s v="1st, 2nd, 3rd, 4th, 5th, 6th, 7th"/>
    <n v="1"/>
    <x v="5"/>
  </r>
  <r>
    <x v="3"/>
    <x v="64"/>
    <x v="4"/>
    <x v="34"/>
    <x v="13"/>
    <s v="2473565"/>
    <s v="229"/>
    <s v="Freshman Academy"/>
    <n v="5"/>
    <s v="3rd, 4th, 5th, 6th, 7th"/>
    <n v="19"/>
    <x v="14"/>
  </r>
  <r>
    <x v="3"/>
    <x v="64"/>
    <x v="4"/>
    <x v="1"/>
    <x v="13"/>
    <s v="2468369"/>
    <s v="214"/>
    <s v="Everyone Else"/>
    <n v="7"/>
    <s v="1st, 2nd, 3rd, 4th, 5th, 6th, 7th"/>
    <n v="47"/>
    <x v="1"/>
  </r>
  <r>
    <x v="3"/>
    <x v="64"/>
    <x v="4"/>
    <x v="22"/>
    <x v="2"/>
    <s v="2459151"/>
    <s v="109"/>
    <s v="Everyone Else"/>
    <n v="5"/>
    <s v="1st, 2nd, 3rd, 4th, 5th"/>
    <n v="17"/>
    <x v="11"/>
  </r>
  <r>
    <x v="3"/>
    <x v="64"/>
    <x v="4"/>
    <x v="49"/>
    <x v="1"/>
    <s v="2461201"/>
    <s v="149"/>
    <s v="Everyone Else"/>
    <n v="7"/>
    <s v="1st, 2nd, 3rd, 4th, 5th, 6th, 7th"/>
    <n v="7"/>
    <x v="8"/>
  </r>
  <r>
    <x v="3"/>
    <x v="64"/>
    <x v="4"/>
    <x v="36"/>
    <x v="4"/>
    <s v="2469490"/>
    <s v="163"/>
    <s v="Everyone Else"/>
    <n v="5"/>
    <s v="1st, 3rd, 4th, 6th, 7th"/>
    <n v="12"/>
    <x v="15"/>
  </r>
  <r>
    <x v="3"/>
    <x v="64"/>
    <x v="4"/>
    <x v="69"/>
    <x v="3"/>
    <s v="2472507"/>
    <s v="114"/>
    <s v="Everyone Else"/>
    <n v="5"/>
    <s v="1st, 4th, 5th, 6th, 7th"/>
    <n v="25"/>
    <x v="19"/>
  </r>
  <r>
    <x v="3"/>
    <x v="64"/>
    <x v="4"/>
    <x v="27"/>
    <x v="15"/>
    <s v="2473478"/>
    <s v="107"/>
    <s v="Everyone Else"/>
    <n v="5"/>
    <s v="1st, 2nd, 3rd, 6th, 7th"/>
    <n v="11"/>
    <x v="10"/>
  </r>
  <r>
    <x v="3"/>
    <x v="65"/>
    <x v="0"/>
    <x v="13"/>
    <x v="12"/>
    <s v="2468702"/>
    <s v="233"/>
    <s v="Freshman Academy"/>
    <n v="5"/>
    <s v="2nd, 3rd, 4th, 5th, 7th"/>
    <n v="11"/>
    <x v="10"/>
  </r>
  <r>
    <x v="3"/>
    <x v="65"/>
    <x v="0"/>
    <x v="34"/>
    <x v="15"/>
    <s v="2474250"/>
    <s v="229"/>
    <s v="Freshman Academy"/>
    <n v="7"/>
    <s v="1st, 2nd, 3rd, 4th, 5th, 6th, 7th"/>
    <n v="19"/>
    <x v="14"/>
  </r>
  <r>
    <x v="3"/>
    <x v="65"/>
    <x v="0"/>
    <x v="22"/>
    <x v="2"/>
    <s v="2459151"/>
    <s v="109"/>
    <s v="Everyone Else"/>
    <n v="5"/>
    <s v="1st, 2nd, 3rd, 4th, 5th"/>
    <n v="17"/>
    <x v="11"/>
  </r>
  <r>
    <x v="3"/>
    <x v="65"/>
    <x v="0"/>
    <x v="24"/>
    <x v="4"/>
    <s v="2473898"/>
    <s v="121"/>
    <s v="Everyone Else"/>
    <n v="5"/>
    <s v="1st, 2nd, 3rd, 4th, 7th"/>
    <n v="13"/>
    <x v="12"/>
  </r>
  <r>
    <x v="3"/>
    <x v="65"/>
    <x v="0"/>
    <x v="50"/>
    <x v="3"/>
    <s v="2474224"/>
    <s v="Tea Room"/>
    <s v="Everyone Else"/>
    <n v="5"/>
    <s v="1st, 2nd, 3rd, 4th, 5th"/>
    <n v="20"/>
    <x v="18"/>
  </r>
  <r>
    <x v="3"/>
    <x v="66"/>
    <x v="1"/>
    <x v="22"/>
    <x v="2"/>
    <s v="2459151"/>
    <s v="109"/>
    <s v="Everyone Else"/>
    <n v="3"/>
    <s v="1st, 3rd, 5th"/>
    <n v="17"/>
    <x v="11"/>
  </r>
  <r>
    <x v="3"/>
    <x v="66"/>
    <x v="1"/>
    <x v="49"/>
    <x v="1"/>
    <s v="2454849"/>
    <s v="149"/>
    <s v="Everyone Else"/>
    <n v="4"/>
    <s v="1st, 3rd, 5th, 7th"/>
    <n v="7"/>
    <x v="8"/>
  </r>
  <r>
    <x v="3"/>
    <x v="66"/>
    <x v="1"/>
    <x v="2"/>
    <x v="8"/>
    <s v="2472238"/>
    <s v="136"/>
    <s v="Everyone Else"/>
    <n v="3"/>
    <s v="3rd, 5th, 7th"/>
    <n v="10"/>
    <x v="2"/>
  </r>
  <r>
    <x v="3"/>
    <x v="66"/>
    <x v="1"/>
    <x v="51"/>
    <x v="3"/>
    <s v="2474638"/>
    <s v="111"/>
    <s v="Everyone Else"/>
    <n v="3"/>
    <s v="1st, 5th, 7th"/>
    <n v="8"/>
    <x v="3"/>
  </r>
  <r>
    <x v="3"/>
    <x v="66"/>
    <x v="1"/>
    <x v="55"/>
    <x v="22"/>
    <s v="2474664"/>
    <s v="128"/>
    <s v="Everyone Else"/>
    <n v="3"/>
    <s v="1st, 5th, 7th"/>
    <n v="11"/>
    <x v="10"/>
  </r>
  <r>
    <x v="3"/>
    <x v="67"/>
    <x v="2"/>
    <x v="22"/>
    <x v="2"/>
    <s v="2459151"/>
    <s v="109"/>
    <s v="Everyone Else"/>
    <n v="3"/>
    <s v="CCR, 2nd, 4th"/>
    <n v="17"/>
    <x v="11"/>
  </r>
  <r>
    <x v="3"/>
    <x v="67"/>
    <x v="2"/>
    <x v="89"/>
    <x v="13"/>
    <s v="2453074"/>
    <s v="115"/>
    <s v="Everyone Else"/>
    <n v="3"/>
    <s v="CCR, 4th, 6th"/>
    <n v="3"/>
    <x v="17"/>
  </r>
  <r>
    <x v="3"/>
    <x v="67"/>
    <x v="2"/>
    <x v="91"/>
    <x v="3"/>
    <s v="2468481"/>
    <s v="147"/>
    <s v="Everyone Else"/>
    <n v="3"/>
    <s v="CCR, 2nd, 4th"/>
    <n v="7"/>
    <x v="8"/>
  </r>
  <r>
    <x v="3"/>
    <x v="67"/>
    <x v="2"/>
    <x v="59"/>
    <x v="1"/>
    <s v="2474306"/>
    <s v="231"/>
    <s v="Everyone Else"/>
    <n v="3"/>
    <s v="CCR, 2nd, 6th"/>
    <n v="5"/>
    <x v="0"/>
  </r>
  <r>
    <x v="3"/>
    <x v="67"/>
    <x v="2"/>
    <x v="42"/>
    <x v="4"/>
    <s v="2474372"/>
    <s v="144"/>
    <s v="Everyone Else"/>
    <n v="3"/>
    <s v="CCR, 4th, 6th"/>
    <n v="11"/>
    <x v="10"/>
  </r>
  <r>
    <x v="3"/>
    <x v="67"/>
    <x v="2"/>
    <x v="110"/>
    <x v="15"/>
    <s v="2474876"/>
    <s v="145"/>
    <s v="Everyone Else"/>
    <n v="3"/>
    <s v="CCR, 2nd, 6th"/>
    <n v="1"/>
    <x v="5"/>
  </r>
  <r>
    <x v="3"/>
    <x v="67"/>
    <x v="2"/>
    <x v="34"/>
    <x v="22"/>
    <s v="2475123"/>
    <s v="229"/>
    <s v="Everyone Else"/>
    <n v="3"/>
    <s v="CCR, 4th, 6th"/>
    <n v="19"/>
    <x v="14"/>
  </r>
  <r>
    <x v="3"/>
    <x v="68"/>
    <x v="3"/>
    <x v="88"/>
    <x v="1"/>
    <s v="2475558"/>
    <s v="219"/>
    <s v="Freshman Academy"/>
    <n v="5"/>
    <s v="2nd, 3rd, 5th, 6th, 7th"/>
    <n v="6"/>
    <x v="6"/>
  </r>
  <r>
    <x v="3"/>
    <x v="68"/>
    <x v="3"/>
    <x v="43"/>
    <x v="1"/>
    <s v="2475608"/>
    <s v="224"/>
    <s v="Freshman Academy"/>
    <n v="5"/>
    <s v="2nd, 3rd, 5th, 6th, 7th"/>
    <n v="8"/>
    <x v="3"/>
  </r>
  <r>
    <x v="3"/>
    <x v="68"/>
    <x v="3"/>
    <x v="1"/>
    <x v="4"/>
    <s v="2440349"/>
    <s v="214"/>
    <s v="Everyone Else"/>
    <n v="7"/>
    <s v="1st, 2nd, 3rd, 4th, 5th, 6th, 7th"/>
    <n v="47"/>
    <x v="1"/>
  </r>
  <r>
    <x v="3"/>
    <x v="68"/>
    <x v="3"/>
    <x v="47"/>
    <x v="4"/>
    <s v="2464521"/>
    <s v="209"/>
    <s v="Everyone Else"/>
    <n v="5"/>
    <s v="1st, 2nd, 3rd, 5th, 6th"/>
    <n v="5"/>
    <x v="0"/>
  </r>
  <r>
    <x v="3"/>
    <x v="68"/>
    <x v="3"/>
    <x v="22"/>
    <x v="2"/>
    <s v="2459151"/>
    <s v="109"/>
    <s v="Everyone Else"/>
    <n v="5"/>
    <s v="1st, 2nd, 3rd, 4th, 5th"/>
    <n v="17"/>
    <x v="11"/>
  </r>
  <r>
    <x v="3"/>
    <x v="68"/>
    <x v="3"/>
    <x v="89"/>
    <x v="13"/>
    <s v="2453074"/>
    <s v="115"/>
    <s v="Everyone Else"/>
    <n v="5"/>
    <s v="1st, 3rd, 4th, 6th, 7th"/>
    <n v="3"/>
    <x v="17"/>
  </r>
  <r>
    <x v="3"/>
    <x v="68"/>
    <x v="3"/>
    <x v="111"/>
    <x v="23"/>
    <s v="2475376"/>
    <s v="215"/>
    <s v="Everyone Else"/>
    <n v="7"/>
    <s v="1st, 2nd, 3rd, 4th, 5th, 6th, 7th"/>
    <n v="1"/>
    <x v="5"/>
  </r>
  <r>
    <x v="3"/>
    <x v="68"/>
    <x v="3"/>
    <x v="112"/>
    <x v="23"/>
    <s v="2474939"/>
    <s v="220"/>
    <s v="Everyone Else"/>
    <n v="7"/>
    <s v="1st, 2nd, 3rd, 4th, 5th, 6th, 7th"/>
    <n v="1"/>
    <x v="5"/>
  </r>
  <r>
    <x v="3"/>
    <x v="68"/>
    <x v="3"/>
    <x v="50"/>
    <x v="15"/>
    <s v="2475508"/>
    <s v="Tea Room"/>
    <s v="Everyone Else"/>
    <n v="5"/>
    <s v="1st, 2nd, 3rd, 4th, 5th"/>
    <n v="20"/>
    <x v="18"/>
  </r>
  <r>
    <x v="4"/>
    <x v="69"/>
    <x v="4"/>
    <x v="1"/>
    <x v="4"/>
    <s v="2468369"/>
    <s v="214"/>
    <s v="Everyone Else"/>
    <n v="7"/>
    <s v="1st, 2nd, 3rd, 4th, 5th, 6th, 7th"/>
    <n v="47"/>
    <x v="1"/>
  </r>
  <r>
    <x v="4"/>
    <x v="69"/>
    <x v="4"/>
    <x v="49"/>
    <x v="1"/>
    <s v="2475691"/>
    <s v="149"/>
    <s v="Everyone Else"/>
    <n v="7"/>
    <s v="1st, 2nd, 3rd, 4th, 5th, 6th, 7th"/>
    <n v="7"/>
    <x v="8"/>
  </r>
  <r>
    <x v="4"/>
    <x v="69"/>
    <x v="4"/>
    <x v="9"/>
    <x v="12"/>
    <s v="2476110"/>
    <s v="162"/>
    <s v="Everyone Else"/>
    <n v="5"/>
    <s v="1st, 2nd, 3rd, 4th, 7th"/>
    <n v="15"/>
    <x v="7"/>
  </r>
  <r>
    <x v="4"/>
    <x v="69"/>
    <x v="4"/>
    <x v="27"/>
    <x v="3"/>
    <s v="2476192"/>
    <s v="107"/>
    <s v="Everyone Else"/>
    <n v="5"/>
    <s v="1st, 2nd, 3rd, 6th, 7th"/>
    <n v="11"/>
    <x v="10"/>
  </r>
  <r>
    <x v="4"/>
    <x v="69"/>
    <x v="4"/>
    <x v="113"/>
    <x v="13"/>
    <s v="2476229"/>
    <m/>
    <s v="Everyone Else"/>
    <n v="5"/>
    <s v="1st, 2nd, 3rd, 4th, 7th"/>
    <n v="2"/>
    <x v="4"/>
  </r>
  <r>
    <x v="4"/>
    <x v="69"/>
    <x v="4"/>
    <x v="19"/>
    <x v="2"/>
    <m/>
    <s v="221"/>
    <s v="Everyone Else"/>
    <n v="6"/>
    <s v="1st, 2nd, 3rd, 4th, 5th, 6th"/>
    <n v="8"/>
    <x v="3"/>
  </r>
  <r>
    <x v="4"/>
    <x v="70"/>
    <x v="1"/>
    <x v="1"/>
    <x v="4"/>
    <s v="2468369"/>
    <s v="214"/>
    <s v="Everyone Else"/>
    <n v="4"/>
    <s v="1st, 3rd, 5th, 7th"/>
    <n v="47"/>
    <x v="1"/>
  </r>
  <r>
    <x v="4"/>
    <x v="70"/>
    <x v="1"/>
    <x v="27"/>
    <x v="2"/>
    <s v="2477416"/>
    <s v="107"/>
    <s v="Everyone Else"/>
    <n v="3"/>
    <s v="1st, 3rd, 7th"/>
    <n v="11"/>
    <x v="10"/>
  </r>
  <r>
    <x v="4"/>
    <x v="70"/>
    <x v="1"/>
    <x v="36"/>
    <x v="22"/>
    <s v="2477387"/>
    <s v="163"/>
    <s v="Everyone Else"/>
    <n v="3"/>
    <s v="1st, 3rd, 7th"/>
    <n v="12"/>
    <x v="15"/>
  </r>
  <r>
    <x v="4"/>
    <x v="71"/>
    <x v="2"/>
    <x v="57"/>
    <x v="2"/>
    <s v="2475974"/>
    <s v="110"/>
    <s v="Everyone Else"/>
    <n v="3"/>
    <s v="CCR, 2nd, 6th"/>
    <n v="4"/>
    <x v="16"/>
  </r>
  <r>
    <x v="4"/>
    <x v="71"/>
    <x v="2"/>
    <x v="82"/>
    <x v="1"/>
    <s v="2477739"/>
    <s v="140"/>
    <s v="Everyone Else"/>
    <n v="3"/>
    <s v="CCR, 2nd, 4th"/>
    <n v="4"/>
    <x v="16"/>
  </r>
  <r>
    <x v="4"/>
    <x v="71"/>
    <x v="2"/>
    <x v="114"/>
    <x v="3"/>
    <s v="2477738"/>
    <s v="213"/>
    <s v="Everyone Else"/>
    <n v="3"/>
    <s v="CCR, 4th, 6th"/>
    <n v="2"/>
    <x v="4"/>
  </r>
  <r>
    <x v="4"/>
    <x v="71"/>
    <x v="2"/>
    <x v="27"/>
    <x v="13"/>
    <s v="2477896"/>
    <s v="107"/>
    <s v="Everyone Else"/>
    <n v="3"/>
    <s v="CCR, 2nd, 6th"/>
    <n v="11"/>
    <x v="10"/>
  </r>
  <r>
    <x v="4"/>
    <x v="71"/>
    <x v="2"/>
    <x v="22"/>
    <x v="22"/>
    <s v="2477927"/>
    <s v="109"/>
    <s v="Everyone Else"/>
    <n v="3"/>
    <s v="CCR, 2nd, 4th"/>
    <n v="17"/>
    <x v="11"/>
  </r>
  <r>
    <x v="4"/>
    <x v="72"/>
    <x v="3"/>
    <x v="115"/>
    <x v="1"/>
    <s v="2478060"/>
    <s v="139"/>
    <s v="Freshman Academy"/>
    <n v="5"/>
    <s v="2nd, 3rd, 5th, 6th, 7th"/>
    <n v="1"/>
    <x v="5"/>
  </r>
  <r>
    <x v="4"/>
    <x v="72"/>
    <x v="3"/>
    <x v="116"/>
    <x v="4"/>
    <s v="2478080"/>
    <s v="117"/>
    <s v="Freshman Academy"/>
    <n v="5"/>
    <s v="3rd, 4th, 5th, 6th, 7th"/>
    <n v="1"/>
    <x v="5"/>
  </r>
  <r>
    <x v="4"/>
    <x v="72"/>
    <x v="3"/>
    <x v="43"/>
    <x v="15"/>
    <s v="2478509"/>
    <s v="224"/>
    <s v="Freshman Academy"/>
    <n v="5"/>
    <s v="2nd, 3rd, 5th, 6th, 7th"/>
    <n v="8"/>
    <x v="3"/>
  </r>
  <r>
    <x v="4"/>
    <x v="72"/>
    <x v="3"/>
    <x v="1"/>
    <x v="4"/>
    <s v="2440349"/>
    <s v="214"/>
    <s v="Everyone Else"/>
    <n v="7"/>
    <s v="1st, 2nd, 3rd, 4th, 5th, 6th, 7th"/>
    <n v="47"/>
    <x v="1"/>
  </r>
  <r>
    <x v="4"/>
    <x v="72"/>
    <x v="3"/>
    <x v="9"/>
    <x v="3"/>
    <s v="2477652"/>
    <s v="162"/>
    <s v="Everyone Else"/>
    <n v="5"/>
    <s v="1st, 2nd, 3rd, 4th, 7th"/>
    <n v="15"/>
    <x v="7"/>
  </r>
  <r>
    <x v="4"/>
    <x v="72"/>
    <x v="3"/>
    <x v="44"/>
    <x v="2"/>
    <s v="2478070"/>
    <s v="119"/>
    <s v="Everyone Else"/>
    <n v="5"/>
    <s v="1st, 2nd, 4th, 5th, 7th"/>
    <n v="13"/>
    <x v="12"/>
  </r>
  <r>
    <x v="4"/>
    <x v="73"/>
    <x v="4"/>
    <x v="88"/>
    <x v="5"/>
    <s v="2477565"/>
    <s v="219"/>
    <s v="Freshman Academy"/>
    <n v="7"/>
    <s v="1st, 2nd, 3rd, 4th, 5th, 6th, 7th"/>
    <n v="6"/>
    <x v="6"/>
  </r>
  <r>
    <x v="4"/>
    <x v="73"/>
    <x v="4"/>
    <x v="72"/>
    <x v="3"/>
    <s v="2476908"/>
    <s v="145"/>
    <s v="Everyone Else"/>
    <n v="5"/>
    <s v="1st, 2nd, 3rd, 5th, 6th"/>
    <n v="5"/>
    <x v="0"/>
  </r>
  <r>
    <x v="4"/>
    <x v="73"/>
    <x v="4"/>
    <x v="44"/>
    <x v="13"/>
    <s v="2478071"/>
    <s v="119"/>
    <s v="Everyone Else"/>
    <n v="5"/>
    <s v="1st, 2nd, 4th, 5th, 7th"/>
    <n v="13"/>
    <x v="12"/>
  </r>
  <r>
    <x v="4"/>
    <x v="73"/>
    <x v="4"/>
    <x v="76"/>
    <x v="19"/>
    <s v="2478962"/>
    <s v="164"/>
    <s v="Everyone Else"/>
    <n v="5"/>
    <s v="1st, 3rd, 4th, 5th, 6th"/>
    <n v="3"/>
    <x v="17"/>
  </r>
  <r>
    <x v="4"/>
    <x v="73"/>
    <x v="4"/>
    <x v="50"/>
    <x v="2"/>
    <s v="2479141"/>
    <s v="Tea Room"/>
    <s v="Everyone Else"/>
    <n v="5"/>
    <s v="1st, 2nd, 3rd, 4th, 5th"/>
    <n v="20"/>
    <x v="18"/>
  </r>
  <r>
    <x v="4"/>
    <x v="73"/>
    <x v="4"/>
    <x v="8"/>
    <x v="1"/>
    <s v="2479024"/>
    <s v="149"/>
    <s v="Everyone Else"/>
    <n v="7"/>
    <s v="1st, 2nd, 3rd, 4th, 5th, 6th, 7th"/>
    <n v="5"/>
    <x v="0"/>
  </r>
  <r>
    <x v="4"/>
    <x v="74"/>
    <x v="0"/>
    <x v="1"/>
    <x v="4"/>
    <s v="2468369"/>
    <s v="214"/>
    <s v="Everyone Else"/>
    <n v="7"/>
    <s v="1st, 2nd, 3rd, 4th, 5th, 6th, 7th"/>
    <n v="47"/>
    <x v="1"/>
  </r>
  <r>
    <x v="4"/>
    <x v="74"/>
    <x v="0"/>
    <x v="22"/>
    <x v="13"/>
    <s v="2475529"/>
    <s v="109"/>
    <s v="Everyone Else"/>
    <n v="5"/>
    <s v="1st, 2nd, 3rd, 4th, 5th"/>
    <n v="17"/>
    <x v="11"/>
  </r>
  <r>
    <x v="4"/>
    <x v="74"/>
    <x v="0"/>
    <x v="57"/>
    <x v="1"/>
    <s v="2475975"/>
    <s v="110"/>
    <s v="Everyone Else"/>
    <n v="5"/>
    <s v="1st, 2nd, 3rd, 6th, 7th"/>
    <n v="4"/>
    <x v="16"/>
  </r>
  <r>
    <x v="4"/>
    <x v="74"/>
    <x v="0"/>
    <x v="72"/>
    <x v="3"/>
    <s v="2476908"/>
    <s v="145"/>
    <s v="Everyone Else"/>
    <n v="5"/>
    <s v="1st, 2nd, 3rd, 5th, 6th"/>
    <n v="5"/>
    <x v="0"/>
  </r>
  <r>
    <x v="4"/>
    <x v="74"/>
    <x v="0"/>
    <x v="50"/>
    <x v="24"/>
    <s v="2479736"/>
    <s v="Tea Room"/>
    <s v="Everyone Else"/>
    <n v="5"/>
    <s v="1st, 2nd, 3rd, 4th, 5th"/>
    <n v="20"/>
    <x v="18"/>
  </r>
  <r>
    <x v="4"/>
    <x v="75"/>
    <x v="1"/>
    <x v="1"/>
    <x v="4"/>
    <s v="2468369"/>
    <s v="214"/>
    <s v="Everyone Else"/>
    <n v="4"/>
    <s v="1st, 3rd, 5th, 7th"/>
    <n v="47"/>
    <x v="1"/>
  </r>
  <r>
    <x v="4"/>
    <x v="75"/>
    <x v="1"/>
    <x v="117"/>
    <x v="4"/>
    <s v="2479605"/>
    <s v="119"/>
    <s v="Everyone Else"/>
    <n v="4"/>
    <s v="1st, 3rd, 5th, 7th"/>
    <n v="1"/>
    <x v="5"/>
  </r>
  <r>
    <x v="4"/>
    <x v="75"/>
    <x v="1"/>
    <x v="91"/>
    <x v="3"/>
    <s v="2480014"/>
    <s v="147"/>
    <s v="Everyone Else"/>
    <n v="4"/>
    <s v="1st, 3rd, 5th, 7th"/>
    <n v="7"/>
    <x v="8"/>
  </r>
  <r>
    <x v="4"/>
    <x v="75"/>
    <x v="1"/>
    <x v="3"/>
    <x v="13"/>
    <s v="2480213"/>
    <s v="120"/>
    <s v="Everyone Else"/>
    <n v="4"/>
    <s v="1st, 3rd, 5th, 7th"/>
    <n v="8"/>
    <x v="3"/>
  </r>
  <r>
    <x v="4"/>
    <x v="75"/>
    <x v="1"/>
    <x v="55"/>
    <x v="2"/>
    <s v="2480246"/>
    <s v="128"/>
    <s v="Everyone Else"/>
    <n v="4"/>
    <s v="1st, 3rd, 5th, 7th"/>
    <n v="11"/>
    <x v="10"/>
  </r>
  <r>
    <x v="4"/>
    <x v="75"/>
    <x v="1"/>
    <x v="2"/>
    <x v="15"/>
    <s v="2480251"/>
    <s v="136"/>
    <s v="Everyone Else"/>
    <n v="4"/>
    <s v="1st, 3rd, 5th, 7th"/>
    <n v="10"/>
    <x v="2"/>
  </r>
  <r>
    <x v="4"/>
    <x v="76"/>
    <x v="2"/>
    <x v="7"/>
    <x v="20"/>
    <s v="2466986"/>
    <s v="209"/>
    <s v="Everyone Else"/>
    <n v="3"/>
    <s v="CCR, 2nd, 6th"/>
    <n v="10"/>
    <x v="2"/>
  </r>
  <r>
    <x v="4"/>
    <x v="76"/>
    <x v="2"/>
    <x v="26"/>
    <x v="2"/>
    <s v="2476895"/>
    <s v="142"/>
    <s v="Everyone Else"/>
    <n v="4"/>
    <s v="CCR, 2nd, 4th, 6th"/>
    <n v="9"/>
    <x v="13"/>
  </r>
  <r>
    <x v="4"/>
    <x v="76"/>
    <x v="2"/>
    <x v="50"/>
    <x v="1"/>
    <s v="2480590"/>
    <s v="Tea Room"/>
    <s v="Everyone Else"/>
    <n v="4"/>
    <s v="CCR, 2nd, 4th, 6th"/>
    <n v="20"/>
    <x v="18"/>
  </r>
  <r>
    <x v="4"/>
    <x v="76"/>
    <x v="2"/>
    <x v="67"/>
    <x v="1"/>
    <s v="2480839"/>
    <s v="149"/>
    <s v="Everyone Else"/>
    <n v="4"/>
    <s v="CCR, 2nd, 4th, 6th"/>
    <n v="4"/>
    <x v="16"/>
  </r>
  <r>
    <x v="4"/>
    <x v="76"/>
    <x v="2"/>
    <x v="3"/>
    <x v="3"/>
    <s v="2480555"/>
    <s v="120"/>
    <s v="Everyone Else"/>
    <n v="4"/>
    <s v="CCR, 2nd, 4th, 6th"/>
    <n v="8"/>
    <x v="3"/>
  </r>
  <r>
    <x v="4"/>
    <x v="76"/>
    <x v="2"/>
    <x v="2"/>
    <x v="13"/>
    <s v="2480251"/>
    <s v="136"/>
    <s v="Everyone Else"/>
    <n v="4"/>
    <s v="CCR, 2nd, 4th, 6th"/>
    <n v="10"/>
    <x v="2"/>
  </r>
  <r>
    <x v="4"/>
    <x v="76"/>
    <x v="2"/>
    <x v="25"/>
    <x v="13"/>
    <m/>
    <m/>
    <s v="Everyone Else"/>
    <n v="4"/>
    <s v="CCR, 2nd, 4th, 6th"/>
    <n v="11"/>
    <x v="10"/>
  </r>
  <r>
    <x v="4"/>
    <x v="76"/>
    <x v="2"/>
    <x v="72"/>
    <x v="4"/>
    <s v="2480688"/>
    <s v="145"/>
    <s v="Everyone Else"/>
    <n v="4"/>
    <s v="CCR, 2nd, 4th, 6th"/>
    <n v="5"/>
    <x v="0"/>
  </r>
  <r>
    <x v="4"/>
    <x v="76"/>
    <x v="2"/>
    <x v="118"/>
    <x v="15"/>
    <s v="2480860"/>
    <s v="118 A"/>
    <s v="Everyone Else"/>
    <n v="4"/>
    <s v="CCR, 2nd, 4th, 6th"/>
    <n v="1"/>
    <x v="5"/>
  </r>
  <r>
    <x v="4"/>
    <x v="77"/>
    <x v="3"/>
    <x v="82"/>
    <x v="13"/>
    <s v="2480015"/>
    <s v="140"/>
    <s v="Freshman Academy"/>
    <n v="7"/>
    <s v="1st, 2nd, 3rd, 4th, 5th, 6th, 7th"/>
    <n v="4"/>
    <x v="16"/>
  </r>
  <r>
    <x v="4"/>
    <x v="77"/>
    <x v="3"/>
    <x v="119"/>
    <x v="22"/>
    <s v="2481214"/>
    <m/>
    <s v="Freshman Academy"/>
    <n v="7"/>
    <s v="1st, 2nd, 3rd, 4th, 5th, 6th, 7th"/>
    <n v="1"/>
    <x v="5"/>
  </r>
  <r>
    <x v="4"/>
    <x v="77"/>
    <x v="3"/>
    <x v="1"/>
    <x v="4"/>
    <s v="2440349"/>
    <s v="214"/>
    <s v="Everyone Else"/>
    <n v="7"/>
    <s v="1st, 2nd, 3rd, 4th, 5th, 6th, 7th"/>
    <n v="47"/>
    <x v="1"/>
  </r>
  <r>
    <x v="4"/>
    <x v="77"/>
    <x v="3"/>
    <x v="120"/>
    <x v="4"/>
    <s v="2480674"/>
    <s v="124"/>
    <s v="Everyone Else"/>
    <n v="7"/>
    <s v="1st, 2nd, 3rd, 4th, 5th, 6th, 7th"/>
    <n v="1"/>
    <x v="5"/>
  </r>
  <r>
    <x v="4"/>
    <x v="77"/>
    <x v="3"/>
    <x v="7"/>
    <x v="1"/>
    <s v="2460244"/>
    <s v="209"/>
    <s v="Everyone Else"/>
    <n v="7"/>
    <s v="1st, 2nd, 3rd, 4th, 5th, 6th, 7th"/>
    <n v="10"/>
    <x v="2"/>
  </r>
  <r>
    <x v="4"/>
    <x v="77"/>
    <x v="3"/>
    <x v="26"/>
    <x v="3"/>
    <s v="2476895"/>
    <s v="142"/>
    <s v="Everyone Else"/>
    <n v="7"/>
    <s v="1st, 2nd, 3rd, 4th, 5th, 6th, 7th"/>
    <n v="9"/>
    <x v="13"/>
  </r>
  <r>
    <x v="4"/>
    <x v="77"/>
    <x v="3"/>
    <x v="113"/>
    <x v="15"/>
    <s v="2480533"/>
    <s v="121"/>
    <s v="Everyone Else"/>
    <n v="7"/>
    <s v="1st, 2nd, 3rd, 4th, 5th, 6th, 7th"/>
    <n v="2"/>
    <x v="4"/>
  </r>
  <r>
    <x v="4"/>
    <x v="77"/>
    <x v="3"/>
    <x v="11"/>
    <x v="2"/>
    <s v="2480652"/>
    <s v="108"/>
    <s v="Everyone Else"/>
    <n v="7"/>
    <s v="1st, 2nd, 3rd, 4th, 5th, 6th, 7th"/>
    <n v="18"/>
    <x v="9"/>
  </r>
  <r>
    <x v="4"/>
    <x v="77"/>
    <x v="3"/>
    <x v="25"/>
    <x v="22"/>
    <s v="2481251"/>
    <s v="210"/>
    <s v="Everyone Else"/>
    <n v="7"/>
    <s v="1st, 2nd, 3rd, 4th, 5th, 6th, 7th"/>
    <n v="11"/>
    <x v="10"/>
  </r>
  <r>
    <x v="4"/>
    <x v="78"/>
    <x v="4"/>
    <x v="87"/>
    <x v="3"/>
    <s v="2481614"/>
    <s v="127"/>
    <s v="Everyone Else"/>
    <n v="5"/>
    <s v="1st, 3rd, 4th, 5th, 6th"/>
    <n v="4"/>
    <x v="16"/>
  </r>
  <r>
    <x v="4"/>
    <x v="78"/>
    <x v="4"/>
    <x v="67"/>
    <x v="15"/>
    <s v="2481617"/>
    <s v="149"/>
    <s v="Everyone Else"/>
    <n v="7"/>
    <s v="1st, 2nd, 3rd, 4th, 5th, 6th, 7th"/>
    <n v="4"/>
    <x v="16"/>
  </r>
  <r>
    <x v="4"/>
    <x v="79"/>
    <x v="0"/>
    <x v="1"/>
    <x v="4"/>
    <s v="2468369"/>
    <s v="214"/>
    <s v="Everyone Else"/>
    <n v="2"/>
    <s v="1st, 2nd"/>
    <n v="47"/>
    <x v="1"/>
  </r>
  <r>
    <x v="4"/>
    <x v="80"/>
    <x v="2"/>
    <x v="121"/>
    <x v="22"/>
    <s v="2482359"/>
    <s v="127"/>
    <s v="Everyone Else"/>
    <n v="2"/>
    <s v="CCR, 6th"/>
    <n v="1"/>
    <x v="5"/>
  </r>
  <r>
    <x v="4"/>
    <x v="81"/>
    <x v="3"/>
    <x v="32"/>
    <x v="2"/>
    <s v="2482147"/>
    <s v="232"/>
    <s v="Everyone Else"/>
    <n v="2"/>
    <s v="4th, 7th"/>
    <n v="5"/>
    <x v="0"/>
  </r>
  <r>
    <x v="4"/>
    <x v="81"/>
    <x v="3"/>
    <x v="9"/>
    <x v="4"/>
    <s v="2482729"/>
    <s v="162"/>
    <s v="Everyone Else"/>
    <n v="2"/>
    <s v="4th, 7th"/>
    <n v="15"/>
    <x v="7"/>
  </r>
  <r>
    <x v="5"/>
    <x v="82"/>
    <x v="0"/>
    <x v="11"/>
    <x v="13"/>
    <s v="2483594"/>
    <s v="208"/>
    <s v="Everyone Else"/>
    <n v="5"/>
    <s v="1st, 2nd, 3rd, 5th, 6th"/>
    <n v="18"/>
    <x v="9"/>
  </r>
  <r>
    <x v="5"/>
    <x v="82"/>
    <x v="0"/>
    <x v="37"/>
    <x v="2"/>
    <s v="2483571"/>
    <s v="138"/>
    <s v="Everyone Else"/>
    <n v="5"/>
    <s v="1st, 2nd, 4th, 5th, 7th"/>
    <n v="7"/>
    <x v="8"/>
  </r>
  <r>
    <x v="5"/>
    <x v="82"/>
    <x v="0"/>
    <x v="44"/>
    <x v="4"/>
    <s v="2483573"/>
    <s v="119"/>
    <s v="Everyone Else"/>
    <n v="5"/>
    <s v="1st, 2nd, 4th, 5th, 7th"/>
    <n v="13"/>
    <x v="12"/>
  </r>
  <r>
    <x v="5"/>
    <x v="82"/>
    <x v="0"/>
    <x v="122"/>
    <x v="1"/>
    <s v="2483575"/>
    <s v="114"/>
    <s v="Everyone Else"/>
    <n v="5"/>
    <s v="1st, 4th, 5th, 6th, 7th"/>
    <n v="1"/>
    <x v="5"/>
  </r>
  <r>
    <x v="5"/>
    <x v="82"/>
    <x v="0"/>
    <x v="50"/>
    <x v="12"/>
    <s v="2483691"/>
    <s v="Tea Room"/>
    <s v="Everyone Else"/>
    <n v="5"/>
    <s v="1st, 2nd, 3rd, 4th, 5th"/>
    <n v="20"/>
    <x v="18"/>
  </r>
  <r>
    <x v="5"/>
    <x v="83"/>
    <x v="1"/>
    <x v="85"/>
    <x v="3"/>
    <s v="2482817"/>
    <s v="204"/>
    <s v="Everyone Else"/>
    <n v="3"/>
    <s v="1st, 3rd, 7th"/>
    <n v="4"/>
    <x v="16"/>
  </r>
  <r>
    <x v="5"/>
    <x v="83"/>
    <x v="1"/>
    <x v="37"/>
    <x v="4"/>
    <s v="2485028"/>
    <s v="138"/>
    <s v="Everyone Else"/>
    <n v="3"/>
    <s v="1st, 5th, 7th"/>
    <n v="7"/>
    <x v="8"/>
  </r>
  <r>
    <x v="5"/>
    <x v="83"/>
    <x v="1"/>
    <x v="44"/>
    <x v="2"/>
    <s v="2485080"/>
    <s v="119"/>
    <s v="Everyone Else"/>
    <n v="3"/>
    <s v="1st, 5th, 7th"/>
    <n v="13"/>
    <x v="12"/>
  </r>
  <r>
    <x v="5"/>
    <x v="83"/>
    <x v="1"/>
    <x v="86"/>
    <x v="13"/>
    <s v="2485215"/>
    <s v="118A"/>
    <s v="Everyone Else"/>
    <n v="3"/>
    <s v="1st, 3rd, 5th"/>
    <n v="3"/>
    <x v="17"/>
  </r>
  <r>
    <x v="5"/>
    <x v="83"/>
    <x v="1"/>
    <x v="67"/>
    <x v="1"/>
    <s v="2485276"/>
    <s v="149"/>
    <s v="Everyone Else"/>
    <n v="4"/>
    <s v="1st, 3rd, 5th, 7th"/>
    <n v="4"/>
    <x v="16"/>
  </r>
  <r>
    <x v="5"/>
    <x v="83"/>
    <x v="1"/>
    <x v="69"/>
    <x v="15"/>
    <s v="2485293"/>
    <s v="114"/>
    <s v="Everyone Else"/>
    <n v="3"/>
    <s v="1st, 5th, 7th"/>
    <n v="25"/>
    <x v="19"/>
  </r>
  <r>
    <x v="5"/>
    <x v="84"/>
    <x v="2"/>
    <x v="1"/>
    <x v="15"/>
    <s v="2482445"/>
    <s v="214"/>
    <s v="Everyone Else"/>
    <n v="4"/>
    <s v="CCR, 2nd, 4th, 6th"/>
    <n v="47"/>
    <x v="1"/>
  </r>
  <r>
    <x v="5"/>
    <x v="84"/>
    <x v="2"/>
    <x v="85"/>
    <x v="3"/>
    <s v="2482817"/>
    <s v="204"/>
    <s v="Everyone Else"/>
    <n v="3"/>
    <s v="CCR, 2nd, 6th"/>
    <n v="4"/>
    <x v="16"/>
  </r>
  <r>
    <x v="5"/>
    <x v="84"/>
    <x v="2"/>
    <x v="37"/>
    <x v="4"/>
    <s v="2485029"/>
    <s v="138"/>
    <s v="Everyone Else"/>
    <n v="3"/>
    <s v="CCR, 2nd, 4th"/>
    <n v="7"/>
    <x v="8"/>
  </r>
  <r>
    <x v="5"/>
    <x v="84"/>
    <x v="2"/>
    <x v="44"/>
    <x v="2"/>
    <s v="2485080"/>
    <s v="119"/>
    <s v="Everyone Else"/>
    <n v="3"/>
    <s v="CCR, 2nd, 4th"/>
    <n v="13"/>
    <x v="12"/>
  </r>
  <r>
    <x v="5"/>
    <x v="84"/>
    <x v="2"/>
    <x v="51"/>
    <x v="1"/>
    <s v="2485279"/>
    <s v="111"/>
    <s v="Everyone Else"/>
    <n v="3"/>
    <s v="CCR, 2nd, 4th"/>
    <n v="8"/>
    <x v="3"/>
  </r>
  <r>
    <x v="5"/>
    <x v="84"/>
    <x v="2"/>
    <x v="69"/>
    <x v="15"/>
    <s v="2485416"/>
    <s v="114"/>
    <s v="Everyone Else"/>
    <n v="3"/>
    <s v="CCR, 4th, 6th"/>
    <n v="25"/>
    <x v="19"/>
  </r>
  <r>
    <x v="5"/>
    <x v="85"/>
    <x v="3"/>
    <x v="37"/>
    <x v="13"/>
    <s v="2485031"/>
    <s v="138"/>
    <s v="Everyone Else"/>
    <n v="5"/>
    <s v="1st, 2nd, 4th, 5th, 7th"/>
    <n v="7"/>
    <x v="8"/>
  </r>
  <r>
    <x v="5"/>
    <x v="85"/>
    <x v="3"/>
    <x v="44"/>
    <x v="2"/>
    <s v="2485080"/>
    <s v="119"/>
    <s v="Everyone Else"/>
    <n v="5"/>
    <s v="1st, 2nd, 4th, 5th, 7th"/>
    <n v="13"/>
    <x v="12"/>
  </r>
  <r>
    <x v="5"/>
    <x v="85"/>
    <x v="3"/>
    <x v="51"/>
    <x v="1"/>
    <s v="2485279"/>
    <s v="111"/>
    <s v="Everyone Else"/>
    <n v="5"/>
    <s v="1st, 2nd, 4th, 5th, 7th"/>
    <n v="8"/>
    <x v="3"/>
  </r>
  <r>
    <x v="5"/>
    <x v="85"/>
    <x v="3"/>
    <x v="69"/>
    <x v="3"/>
    <s v="2485422"/>
    <s v="114"/>
    <s v="Everyone Else"/>
    <n v="5"/>
    <s v="1st, 4th, 5th, 6th, 7th"/>
    <n v="25"/>
    <x v="19"/>
  </r>
  <r>
    <x v="5"/>
    <x v="85"/>
    <x v="3"/>
    <x v="42"/>
    <x v="4"/>
    <s v="2486190"/>
    <s v="144"/>
    <s v="Everyone Else"/>
    <n v="5"/>
    <s v="1st, 4th, 5th, 6th, 7th"/>
    <n v="11"/>
    <x v="10"/>
  </r>
  <r>
    <x v="5"/>
    <x v="86"/>
    <x v="4"/>
    <x v="50"/>
    <x v="3"/>
    <s v="2483692"/>
    <s v="Tea Room"/>
    <s v="Everyone Else"/>
    <n v="5"/>
    <s v="1st, 2nd, 3rd, 4th, 5th"/>
    <n v="20"/>
    <x v="18"/>
  </r>
  <r>
    <x v="5"/>
    <x v="86"/>
    <x v="4"/>
    <x v="69"/>
    <x v="1"/>
    <s v="2485429"/>
    <s v="114"/>
    <s v="Everyone Else"/>
    <n v="5"/>
    <s v="1st, 4th, 5th, 6th, 7th"/>
    <n v="25"/>
    <x v="19"/>
  </r>
  <r>
    <x v="5"/>
    <x v="86"/>
    <x v="4"/>
    <x v="44"/>
    <x v="4"/>
    <s v="2486767"/>
    <s v="119"/>
    <s v="Everyone Else"/>
    <n v="5"/>
    <s v="1st, 2nd, 4th, 5th, 7th"/>
    <n v="13"/>
    <x v="12"/>
  </r>
  <r>
    <x v="5"/>
    <x v="86"/>
    <x v="4"/>
    <x v="75"/>
    <x v="2"/>
    <s v="2486724"/>
    <s v="230"/>
    <s v="Everyone Else"/>
    <n v="5"/>
    <s v="2nd, 3rd, 4th, 5th, 7th"/>
    <n v="6"/>
    <x v="6"/>
  </r>
  <r>
    <x v="5"/>
    <x v="86"/>
    <x v="4"/>
    <x v="102"/>
    <x v="15"/>
    <s v="2486722"/>
    <s v="220"/>
    <s v="Everyone Else"/>
    <n v="3"/>
    <s v="4th, 5th, 7th"/>
    <n v="3"/>
    <x v="17"/>
  </r>
  <r>
    <x v="5"/>
    <x v="86"/>
    <x v="4"/>
    <x v="35"/>
    <x v="13"/>
    <s v="2486746"/>
    <s v="117"/>
    <s v="Everyone Else"/>
    <n v="5"/>
    <s v="3rd, 4th, 5th, 6th, 7th"/>
    <n v="10"/>
    <x v="2"/>
  </r>
  <r>
    <x v="5"/>
    <x v="86"/>
    <x v="4"/>
    <x v="55"/>
    <x v="22"/>
    <s v="2487164"/>
    <s v="128"/>
    <s v="Everyone Else"/>
    <n v="5"/>
    <s v="1st, 2nd, 4th, 5th, 7th"/>
    <n v="11"/>
    <x v="10"/>
  </r>
  <r>
    <x v="5"/>
    <x v="87"/>
    <x v="0"/>
    <x v="69"/>
    <x v="1"/>
    <s v="2485429"/>
    <s v="114"/>
    <s v="Everyone Else"/>
    <n v="5"/>
    <s v="1st, 4th, 5th, 6th, 7th"/>
    <n v="25"/>
    <x v="19"/>
  </r>
  <r>
    <x v="5"/>
    <x v="87"/>
    <x v="0"/>
    <x v="35"/>
    <x v="4"/>
    <s v="2486767"/>
    <s v="117"/>
    <s v="Everyone Else"/>
    <n v="7"/>
    <s v="1st, 2nd, 3rd, 4th, 5th, 6th, 7th"/>
    <n v="10"/>
    <x v="2"/>
  </r>
  <r>
    <x v="5"/>
    <x v="87"/>
    <x v="0"/>
    <x v="75"/>
    <x v="2"/>
    <s v="2486724"/>
    <s v="230"/>
    <s v="Everyone Else"/>
    <n v="5"/>
    <s v="2nd, 3rd, 4th, 5th, 7th"/>
    <n v="6"/>
    <x v="6"/>
  </r>
  <r>
    <x v="5"/>
    <x v="87"/>
    <x v="0"/>
    <x v="64"/>
    <x v="3"/>
    <s v="2487456"/>
    <s v="134"/>
    <s v="Everyone Else"/>
    <n v="5"/>
    <s v="1st, 2nd, 5th, 6th, 7th"/>
    <n v="8"/>
    <x v="3"/>
  </r>
  <r>
    <x v="5"/>
    <x v="87"/>
    <x v="0"/>
    <x v="84"/>
    <x v="15"/>
    <s v="2488103"/>
    <s v="158"/>
    <s v="Everyone Else"/>
    <n v="5"/>
    <s v="1st, 2nd, 3rd, 4th, 7th"/>
    <n v="9"/>
    <x v="13"/>
  </r>
  <r>
    <x v="5"/>
    <x v="87"/>
    <x v="0"/>
    <x v="50"/>
    <x v="13"/>
    <s v="2488051"/>
    <s v="Tea Room"/>
    <s v="Everyone Else"/>
    <n v="5"/>
    <s v="1st, 2nd, 3rd, 4th, 5th"/>
    <n v="20"/>
    <x v="18"/>
  </r>
  <r>
    <x v="5"/>
    <x v="87"/>
    <x v="0"/>
    <x v="2"/>
    <x v="25"/>
    <s v="2488121"/>
    <s v="136"/>
    <s v="Everyone Else"/>
    <n v="5"/>
    <s v="2nd, 3rd, 4th, 5th, 7th"/>
    <n v="10"/>
    <x v="2"/>
  </r>
  <r>
    <x v="5"/>
    <x v="88"/>
    <x v="1"/>
    <x v="30"/>
    <x v="19"/>
    <s v="2476972"/>
    <s v="213"/>
    <s v="Everyone Else"/>
    <n v="3"/>
    <s v="3rd, 5th, 7th"/>
    <n v="8"/>
    <x v="3"/>
  </r>
  <r>
    <x v="5"/>
    <x v="88"/>
    <x v="1"/>
    <x v="13"/>
    <x v="9"/>
    <s v="2478920"/>
    <s v="233"/>
    <s v="Everyone Else"/>
    <n v="3"/>
    <s v="3rd, 5th, 7th"/>
    <n v="11"/>
    <x v="10"/>
  </r>
  <r>
    <x v="5"/>
    <x v="88"/>
    <x v="1"/>
    <x v="54"/>
    <x v="4"/>
    <s v="2482827"/>
    <s v="141"/>
    <s v="Everyone Else"/>
    <n v="4"/>
    <s v="1st, 3rd, 5th, 7th"/>
    <n v="3"/>
    <x v="17"/>
  </r>
  <r>
    <x v="5"/>
    <x v="88"/>
    <x v="1"/>
    <x v="69"/>
    <x v="1"/>
    <s v="2485429"/>
    <s v="114"/>
    <s v="Everyone Else"/>
    <n v="3"/>
    <s v="1st, 5th, 7th"/>
    <n v="25"/>
    <x v="19"/>
  </r>
  <r>
    <x v="5"/>
    <x v="88"/>
    <x v="1"/>
    <x v="123"/>
    <x v="3"/>
    <s v="2486748"/>
    <s v="117"/>
    <s v="Everyone Else"/>
    <n v="3"/>
    <s v="3rd, 5th, 7th"/>
    <n v="9"/>
    <x v="13"/>
  </r>
  <r>
    <x v="5"/>
    <x v="88"/>
    <x v="1"/>
    <x v="11"/>
    <x v="2"/>
    <s v="2488797"/>
    <s v="208"/>
    <s v="Everyone Else"/>
    <n v="3"/>
    <s v="1st, 3rd, 5th"/>
    <n v="18"/>
    <x v="9"/>
  </r>
  <r>
    <x v="5"/>
    <x v="88"/>
    <x v="1"/>
    <x v="124"/>
    <x v="15"/>
    <s v="2488801"/>
    <s v="149"/>
    <s v="Everyone Else"/>
    <n v="4"/>
    <s v="1st, 3rd, 5th, 7th"/>
    <n v="1"/>
    <x v="5"/>
  </r>
  <r>
    <x v="5"/>
    <x v="89"/>
    <x v="2"/>
    <x v="30"/>
    <x v="6"/>
    <s v="2476972"/>
    <s v="213"/>
    <s v="Everyone Else"/>
    <n v="3"/>
    <s v="CCR, 4th, 6th"/>
    <n v="8"/>
    <x v="3"/>
  </r>
  <r>
    <x v="5"/>
    <x v="89"/>
    <x v="2"/>
    <x v="13"/>
    <x v="2"/>
    <s v="2478921"/>
    <s v="233"/>
    <s v="Everyone Else"/>
    <n v="3"/>
    <s v="CCR, 2nd, 4th"/>
    <n v="11"/>
    <x v="10"/>
  </r>
  <r>
    <x v="5"/>
    <x v="89"/>
    <x v="2"/>
    <x v="54"/>
    <x v="4"/>
    <s v="2482827"/>
    <s v="141"/>
    <s v="Everyone Else"/>
    <n v="3"/>
    <s v="CCR, 4th, 6th"/>
    <n v="3"/>
    <x v="17"/>
  </r>
  <r>
    <x v="5"/>
    <x v="89"/>
    <x v="2"/>
    <x v="69"/>
    <x v="3"/>
    <s v="2485432"/>
    <s v="114"/>
    <s v="Everyone Else"/>
    <n v="3"/>
    <s v="CCR, 4th, 6th"/>
    <n v="25"/>
    <x v="19"/>
  </r>
  <r>
    <x v="5"/>
    <x v="89"/>
    <x v="2"/>
    <x v="123"/>
    <x v="1"/>
    <s v="2486749"/>
    <s v="117"/>
    <s v="Everyone Else"/>
    <n v="3"/>
    <s v="CCR, 4th, 6th"/>
    <n v="9"/>
    <x v="13"/>
  </r>
  <r>
    <x v="5"/>
    <x v="89"/>
    <x v="2"/>
    <x v="3"/>
    <x v="15"/>
    <s v="2489518"/>
    <s v="120"/>
    <s v="Everyone Else"/>
    <n v="3"/>
    <s v="CCR, 4th, 6th"/>
    <n v="8"/>
    <x v="3"/>
  </r>
  <r>
    <x v="5"/>
    <x v="90"/>
    <x v="3"/>
    <x v="28"/>
    <x v="1"/>
    <s v="2475378"/>
    <s v="215"/>
    <s v="Everyone Else"/>
    <n v="5"/>
    <s v="1st, 2nd, 3rd, 4th, 7th"/>
    <n v="7"/>
    <x v="8"/>
  </r>
  <r>
    <x v="5"/>
    <x v="90"/>
    <x v="3"/>
    <x v="60"/>
    <x v="13"/>
    <s v="2484062"/>
    <s v="122"/>
    <s v="Everyone Else"/>
    <n v="5"/>
    <s v="1st, 2nd, 3rd, 4th, 7th"/>
    <n v="8"/>
    <x v="3"/>
  </r>
  <r>
    <x v="5"/>
    <x v="90"/>
    <x v="3"/>
    <x v="69"/>
    <x v="3"/>
    <s v="2485432"/>
    <s v="114"/>
    <s v="Everyone Else"/>
    <n v="5"/>
    <s v="1st, 4th, 5th, 6th, 7th"/>
    <n v="25"/>
    <x v="19"/>
  </r>
  <r>
    <x v="5"/>
    <x v="90"/>
    <x v="3"/>
    <x v="123"/>
    <x v="2"/>
    <s v="2486750"/>
    <s v="117"/>
    <s v="Everyone Else"/>
    <n v="5"/>
    <s v="3rd, 4th, 5th, 6th, 7th"/>
    <n v="9"/>
    <x v="13"/>
  </r>
  <r>
    <x v="5"/>
    <x v="90"/>
    <x v="3"/>
    <x v="7"/>
    <x v="4"/>
    <s v="2486755"/>
    <s v="209"/>
    <s v="Everyone Else"/>
    <n v="5"/>
    <s v="1st, 2nd, 3rd, 5th, 6th"/>
    <n v="10"/>
    <x v="2"/>
  </r>
  <r>
    <x v="5"/>
    <x v="90"/>
    <x v="3"/>
    <x v="125"/>
    <x v="15"/>
    <s v="2486769"/>
    <s v="149"/>
    <s v="Everyone Else"/>
    <n v="7"/>
    <s v="1st, 2nd, 3rd, 4th, 5th, 6th, 7th"/>
    <n v="1"/>
    <x v="5"/>
  </r>
  <r>
    <x v="5"/>
    <x v="90"/>
    <x v="3"/>
    <x v="39"/>
    <x v="15"/>
    <s v="2490273"/>
    <s v="149"/>
    <s v="Everyone Else"/>
    <n v="7"/>
    <s v="1st, 2nd, 3rd, 4th, 5th, 6th, 7th"/>
    <n v="4"/>
    <x v="16"/>
  </r>
  <r>
    <x v="5"/>
    <x v="90"/>
    <x v="3"/>
    <x v="51"/>
    <x v="22"/>
    <s v="2488180"/>
    <s v="111"/>
    <s v="Everyone Else"/>
    <n v="5"/>
    <s v="1st, 2nd, 4th, 5th, 7th"/>
    <n v="8"/>
    <x v="3"/>
  </r>
  <r>
    <x v="5"/>
    <x v="90"/>
    <x v="3"/>
    <x v="11"/>
    <x v="26"/>
    <s v="2490343"/>
    <s v="208"/>
    <s v="Everyone Else"/>
    <n v="5"/>
    <s v="1st, 2nd, 3rd, 5th, 6th"/>
    <n v="18"/>
    <x v="9"/>
  </r>
  <r>
    <x v="5"/>
    <x v="91"/>
    <x v="0"/>
    <x v="64"/>
    <x v="1"/>
    <s v="2488937"/>
    <s v="134"/>
    <s v="Everyone Else"/>
    <n v="5"/>
    <s v="1st, 2nd, 5th, 6th, 7th"/>
    <n v="8"/>
    <x v="3"/>
  </r>
  <r>
    <x v="5"/>
    <x v="91"/>
    <x v="0"/>
    <x v="51"/>
    <x v="13"/>
    <m/>
    <s v="111"/>
    <s v="Everyone Else"/>
    <n v="5"/>
    <s v="1st, 2nd, 4th, 5th, 7th"/>
    <n v="8"/>
    <x v="3"/>
  </r>
  <r>
    <x v="5"/>
    <x v="91"/>
    <x v="0"/>
    <x v="69"/>
    <x v="4"/>
    <s v="2490493"/>
    <s v="114"/>
    <s v="Everyone Else"/>
    <n v="5"/>
    <s v="1st, 4th, 5th, 6th, 7th"/>
    <n v="25"/>
    <x v="19"/>
  </r>
  <r>
    <x v="5"/>
    <x v="91"/>
    <x v="0"/>
    <x v="123"/>
    <x v="3"/>
    <s v="2490494"/>
    <s v="117"/>
    <s v="Everyone Else"/>
    <n v="5"/>
    <s v="3rd, 4th, 5th, 6th, 7th"/>
    <n v="9"/>
    <x v="13"/>
  </r>
  <r>
    <x v="5"/>
    <x v="91"/>
    <x v="0"/>
    <x v="126"/>
    <x v="2"/>
    <m/>
    <s v="205"/>
    <s v="Everyone Else"/>
    <n v="5"/>
    <s v="1st, 2nd, 5th, 6th, 7th"/>
    <n v="2"/>
    <x v="4"/>
  </r>
  <r>
    <x v="5"/>
    <x v="92"/>
    <x v="1"/>
    <x v="69"/>
    <x v="4"/>
    <s v="2490493"/>
    <s v="114"/>
    <s v="Everyone Else"/>
    <n v="3"/>
    <s v="1st, 5th, 7th"/>
    <n v="25"/>
    <x v="19"/>
  </r>
  <r>
    <x v="5"/>
    <x v="92"/>
    <x v="1"/>
    <x v="123"/>
    <x v="3"/>
    <s v="2490494"/>
    <s v="117"/>
    <s v="Everyone Else"/>
    <n v="3"/>
    <s v="3rd, 5th, 7th"/>
    <n v="9"/>
    <x v="13"/>
  </r>
  <r>
    <x v="5"/>
    <x v="92"/>
    <x v="1"/>
    <x v="32"/>
    <x v="1"/>
    <s v="2491814"/>
    <s v="232"/>
    <s v="Everyone Else"/>
    <n v="3"/>
    <s v="3rd, 5th, 7th"/>
    <n v="5"/>
    <x v="0"/>
  </r>
  <r>
    <x v="5"/>
    <x v="92"/>
    <x v="1"/>
    <x v="64"/>
    <x v="2"/>
    <s v="2493806"/>
    <m/>
    <s v="Everyone Else"/>
    <n v="3"/>
    <s v="1st, 5th, 7th"/>
    <n v="8"/>
    <x v="3"/>
  </r>
  <r>
    <x v="5"/>
    <x v="93"/>
    <x v="2"/>
    <x v="1"/>
    <x v="13"/>
    <s v="2482445"/>
    <s v="214"/>
    <s v="Everyone Else"/>
    <n v="4"/>
    <s v="CCR, 2nd, 4th, 6th"/>
    <n v="47"/>
    <x v="1"/>
  </r>
  <r>
    <x v="5"/>
    <x v="93"/>
    <x v="2"/>
    <x v="13"/>
    <x v="4"/>
    <s v="2487070"/>
    <s v="233"/>
    <s v="Everyone Else"/>
    <n v="3"/>
    <s v="CCR, 2nd, 4th"/>
    <n v="11"/>
    <x v="10"/>
  </r>
  <r>
    <x v="5"/>
    <x v="93"/>
    <x v="2"/>
    <x v="114"/>
    <x v="1"/>
    <s v="2489129"/>
    <s v="213"/>
    <s v="Everyone Else"/>
    <n v="3"/>
    <s v="CCR, 4th, 6th"/>
    <n v="2"/>
    <x v="4"/>
  </r>
  <r>
    <x v="5"/>
    <x v="93"/>
    <x v="2"/>
    <x v="69"/>
    <x v="3"/>
    <s v="2490497"/>
    <s v="114"/>
    <s v="Everyone Else"/>
    <n v="3"/>
    <s v="CCR, 4th, 6th"/>
    <n v="25"/>
    <x v="19"/>
  </r>
  <r>
    <x v="5"/>
    <x v="93"/>
    <x v="2"/>
    <x v="123"/>
    <x v="2"/>
    <s v="2490500"/>
    <s v="117"/>
    <s v="Everyone Else"/>
    <n v="4"/>
    <s v="CCR, 2nd, 4th, 6th"/>
    <n v="9"/>
    <x v="13"/>
  </r>
  <r>
    <x v="5"/>
    <x v="94"/>
    <x v="3"/>
    <x v="13"/>
    <x v="13"/>
    <s v="2487071"/>
    <s v="223"/>
    <s v="Everyone Else"/>
    <n v="5"/>
    <s v="2nd, 3rd, 4th, 5th, 7th"/>
    <n v="11"/>
    <x v="10"/>
  </r>
  <r>
    <x v="5"/>
    <x v="94"/>
    <x v="3"/>
    <x v="59"/>
    <x v="4"/>
    <s v="2487566"/>
    <s v="231"/>
    <s v="Everyone Else"/>
    <n v="5"/>
    <s v="2nd, 3rd, 5th, 6th, 7th"/>
    <n v="5"/>
    <x v="0"/>
  </r>
  <r>
    <x v="5"/>
    <x v="94"/>
    <x v="3"/>
    <x v="69"/>
    <x v="3"/>
    <s v="2490497"/>
    <s v="114"/>
    <s v="Everyone Else"/>
    <n v="5"/>
    <s v="1st, 4th, 5th, 6th, 7th"/>
    <n v="25"/>
    <x v="19"/>
  </r>
  <r>
    <x v="5"/>
    <x v="94"/>
    <x v="3"/>
    <x v="123"/>
    <x v="2"/>
    <s v="2490500"/>
    <s v="117"/>
    <s v="Everyone Else"/>
    <n v="5"/>
    <s v="3rd, 4th, 5th, 6th, 7th"/>
    <n v="9"/>
    <x v="13"/>
  </r>
  <r>
    <x v="5"/>
    <x v="95"/>
    <x v="3"/>
    <x v="14"/>
    <x v="1"/>
    <s v="2488230"/>
    <s v="110"/>
    <s v="Everyone Else"/>
    <n v="5"/>
    <s v="1st, 2nd, 3rd, 6th, 7th"/>
    <n v="7"/>
    <x v="8"/>
  </r>
  <r>
    <x v="6"/>
    <x v="96"/>
    <x v="0"/>
    <x v="29"/>
    <x v="4"/>
    <s v="2496013"/>
    <s v="139"/>
    <s v="Everyone Else"/>
    <n v="5"/>
    <s v="2nd, 3rd, 5th, 6th, 7th"/>
    <n v="7"/>
    <x v="8"/>
  </r>
  <r>
    <x v="6"/>
    <x v="96"/>
    <x v="0"/>
    <x v="69"/>
    <x v="4"/>
    <s v="2496602"/>
    <s v="114"/>
    <s v="Everyone Else"/>
    <n v="5"/>
    <s v="1st, 4th, 5th, 6th, 7th"/>
    <n v="25"/>
    <x v="19"/>
  </r>
  <r>
    <x v="6"/>
    <x v="96"/>
    <x v="0"/>
    <x v="57"/>
    <x v="13"/>
    <s v="2496016"/>
    <s v="110"/>
    <s v="Everyone Else"/>
    <n v="5"/>
    <s v="1st, 2nd, 3rd, 6th, 7th"/>
    <n v="4"/>
    <x v="16"/>
  </r>
  <r>
    <x v="6"/>
    <x v="96"/>
    <x v="0"/>
    <x v="22"/>
    <x v="13"/>
    <s v="2496594"/>
    <s v="109"/>
    <s v="Everyone Else"/>
    <n v="5"/>
    <s v="1st, 2nd, 3rd, 4th, 5th"/>
    <n v="17"/>
    <x v="11"/>
  </r>
  <r>
    <x v="6"/>
    <x v="96"/>
    <x v="0"/>
    <x v="127"/>
    <x v="1"/>
    <s v="2496069"/>
    <s v="149"/>
    <s v="Everyone Else"/>
    <n v="7"/>
    <s v="1st, 2nd, 3rd, 4th, 5th, 6th, 7th"/>
    <n v="13"/>
    <x v="12"/>
  </r>
  <r>
    <x v="6"/>
    <x v="96"/>
    <x v="0"/>
    <x v="37"/>
    <x v="2"/>
    <s v="2496475"/>
    <s v="138"/>
    <s v="Everyone Else"/>
    <n v="5"/>
    <s v="1st, 2nd, 4th, 5th, 7th"/>
    <n v="7"/>
    <x v="8"/>
  </r>
  <r>
    <x v="6"/>
    <x v="96"/>
    <x v="0"/>
    <x v="55"/>
    <x v="15"/>
    <s v="2496606"/>
    <s v="128"/>
    <s v="Everyone Else"/>
    <n v="5"/>
    <s v="1st, 2nd, 4th, 5th, 7th"/>
    <n v="11"/>
    <x v="10"/>
  </r>
  <r>
    <x v="6"/>
    <x v="96"/>
    <x v="0"/>
    <x v="123"/>
    <x v="3"/>
    <s v="2496595"/>
    <s v="117"/>
    <s v="Everyone Else"/>
    <n v="5"/>
    <s v="3rd, 4th, 5th, 6th, 7th"/>
    <n v="9"/>
    <x v="13"/>
  </r>
  <r>
    <x v="6"/>
    <x v="97"/>
    <x v="1"/>
    <x v="29"/>
    <x v="4"/>
    <s v="2496013"/>
    <s v="139"/>
    <s v="Everyone Else"/>
    <n v="3"/>
    <s v="3rd, 5th, 7th"/>
    <n v="7"/>
    <x v="8"/>
  </r>
  <r>
    <x v="6"/>
    <x v="97"/>
    <x v="1"/>
    <x v="34"/>
    <x v="2"/>
    <s v="2495019"/>
    <s v="229"/>
    <s v="Everyone Else"/>
    <n v="3"/>
    <s v="3rd, 5th, 7th"/>
    <n v="19"/>
    <x v="14"/>
  </r>
  <r>
    <x v="6"/>
    <x v="97"/>
    <x v="1"/>
    <x v="127"/>
    <x v="1"/>
    <s v="2496045"/>
    <s v="149"/>
    <s v="Everyone Else"/>
    <n v="4"/>
    <s v="1st, 3rd, 5th, 7th"/>
    <n v="13"/>
    <x v="12"/>
  </r>
  <r>
    <x v="6"/>
    <x v="97"/>
    <x v="1"/>
    <x v="69"/>
    <x v="3"/>
    <s v="2497090"/>
    <s v="114"/>
    <s v="Everyone Else"/>
    <n v="3"/>
    <s v="1st, 5th, 7th"/>
    <n v="25"/>
    <x v="19"/>
  </r>
  <r>
    <x v="6"/>
    <x v="97"/>
    <x v="1"/>
    <x v="123"/>
    <x v="13"/>
    <s v="2497093"/>
    <s v="117"/>
    <s v="Everyone Else"/>
    <n v="3"/>
    <s v="3rd, 5th, 7th"/>
    <n v="9"/>
    <x v="13"/>
  </r>
  <r>
    <x v="6"/>
    <x v="97"/>
    <x v="1"/>
    <x v="22"/>
    <x v="15"/>
    <s v="2497456"/>
    <s v="109"/>
    <s v="Everyone Else"/>
    <n v="3"/>
    <s v="1st, 3rd, 5th"/>
    <n v="17"/>
    <x v="11"/>
  </r>
  <r>
    <x v="6"/>
    <x v="98"/>
    <x v="2"/>
    <x v="1"/>
    <x v="13"/>
    <s v="2482445"/>
    <s v="214"/>
    <s v="Everyone Else"/>
    <n v="4"/>
    <s v="CCR, 2nd, 4th, 6th"/>
    <n v="47"/>
    <x v="1"/>
  </r>
  <r>
    <x v="6"/>
    <x v="98"/>
    <x v="2"/>
    <x v="26"/>
    <x v="13"/>
    <s v="2498047"/>
    <s v="142"/>
    <s v="Everyone Else"/>
    <n v="4"/>
    <s v="CCR, 2nd, 4th, 6th"/>
    <n v="9"/>
    <x v="13"/>
  </r>
  <r>
    <x v="6"/>
    <x v="98"/>
    <x v="2"/>
    <x v="69"/>
    <x v="3"/>
    <s v="2497478"/>
    <s v="114"/>
    <s v="Everyone Else"/>
    <n v="4"/>
    <s v="CCR, 2nd, 4th, 6th"/>
    <n v="25"/>
    <x v="19"/>
  </r>
  <r>
    <x v="6"/>
    <x v="98"/>
    <x v="2"/>
    <x v="128"/>
    <x v="2"/>
    <s v="2497485"/>
    <s v="117"/>
    <s v="Everyone Else"/>
    <n v="4"/>
    <s v="CCR, 2nd, 4th, 6th"/>
    <n v="11"/>
    <x v="10"/>
  </r>
  <r>
    <x v="6"/>
    <x v="98"/>
    <x v="2"/>
    <x v="127"/>
    <x v="15"/>
    <s v="2493609"/>
    <s v="149"/>
    <s v="Everyone Else"/>
    <n v="4"/>
    <s v="CCR, 2nd, 4th, 6th"/>
    <n v="13"/>
    <x v="12"/>
  </r>
  <r>
    <x v="6"/>
    <x v="98"/>
    <x v="2"/>
    <x v="25"/>
    <x v="4"/>
    <s v="2498245"/>
    <s v="210"/>
    <s v="Everyone Else"/>
    <n v="4"/>
    <s v="CCR, 2nd, 4th, 6th"/>
    <n v="11"/>
    <x v="10"/>
  </r>
  <r>
    <x v="6"/>
    <x v="98"/>
    <x v="2"/>
    <x v="88"/>
    <x v="1"/>
    <s v="2499563"/>
    <s v="219"/>
    <s v="Everyone Else"/>
    <n v="4"/>
    <s v="CCR, 2nd, 4th, 6th"/>
    <n v="6"/>
    <x v="6"/>
  </r>
  <r>
    <x v="6"/>
    <x v="98"/>
    <x v="2"/>
    <x v="41"/>
    <x v="1"/>
    <s v="2498274"/>
    <s v="217"/>
    <s v="Everyone Else"/>
    <n v="4"/>
    <s v="CCR, 2nd, 4th, 6th"/>
    <n v="10"/>
    <x v="2"/>
  </r>
  <r>
    <x v="6"/>
    <x v="99"/>
    <x v="3"/>
    <x v="69"/>
    <x v="3"/>
    <s v="2497478"/>
    <s v="114"/>
    <s v="Everyone Else"/>
    <n v="5"/>
    <s v="1st, 4th, 5th, 6th, 7th"/>
    <n v="25"/>
    <x v="19"/>
  </r>
  <r>
    <x v="6"/>
    <x v="99"/>
    <x v="3"/>
    <x v="35"/>
    <x v="2"/>
    <s v="2497485"/>
    <s v="117"/>
    <s v="Everyone Else"/>
    <n v="5"/>
    <s v="3rd, 4th, 5th, 6th, 7th"/>
    <n v="10"/>
    <x v="2"/>
  </r>
  <r>
    <x v="6"/>
    <x v="99"/>
    <x v="3"/>
    <x v="127"/>
    <x v="15"/>
    <s v="2500614"/>
    <s v="149"/>
    <s v="Everyone Else"/>
    <n v="7"/>
    <s v="1st, 2nd, 3rd, 4th, 5th, 6th, 7th"/>
    <n v="13"/>
    <x v="12"/>
  </r>
  <r>
    <x v="6"/>
    <x v="99"/>
    <x v="3"/>
    <x v="79"/>
    <x v="1"/>
    <s v="2498679"/>
    <s v="216"/>
    <s v="Everyone Else"/>
    <n v="5"/>
    <s v="1st, 2nd, 5th, 6th, 7th"/>
    <n v="5"/>
    <x v="0"/>
  </r>
  <r>
    <x v="6"/>
    <x v="99"/>
    <x v="3"/>
    <x v="9"/>
    <x v="4"/>
    <s v="2498880"/>
    <s v="162"/>
    <s v="Everyone Else"/>
    <n v="5"/>
    <s v="1st, 2nd, 3rd, 4th, 7th"/>
    <n v="15"/>
    <x v="7"/>
  </r>
  <r>
    <x v="6"/>
    <x v="99"/>
    <x v="3"/>
    <x v="41"/>
    <x v="13"/>
    <s v="2499038"/>
    <s v="217"/>
    <s v="Everyone Else"/>
    <n v="5"/>
    <s v="1st, 2nd, 5th, 6th, 7th"/>
    <n v="10"/>
    <x v="2"/>
  </r>
  <r>
    <x v="6"/>
    <x v="100"/>
    <x v="4"/>
    <x v="69"/>
    <x v="4"/>
    <s v="2497489"/>
    <s v="114"/>
    <s v="Everyone Else"/>
    <n v="5"/>
    <s v="1st, 4th, 5th, 6th, 7th"/>
    <n v="25"/>
    <x v="19"/>
  </r>
  <r>
    <x v="6"/>
    <x v="100"/>
    <x v="4"/>
    <x v="127"/>
    <x v="1"/>
    <s v="2497487"/>
    <s v="149"/>
    <s v="Everyone Else"/>
    <n v="7"/>
    <s v="1st, 2nd, 3rd, 4th, 5th, 6th, 7th"/>
    <n v="13"/>
    <x v="12"/>
  </r>
  <r>
    <x v="6"/>
    <x v="100"/>
    <x v="4"/>
    <x v="36"/>
    <x v="3"/>
    <s v="2496695"/>
    <s v="163"/>
    <s v="Everyone Else"/>
    <n v="5"/>
    <s v="1st, 3rd, 4th, 6th, 7th"/>
    <n v="12"/>
    <x v="15"/>
  </r>
  <r>
    <x v="6"/>
    <x v="100"/>
    <x v="4"/>
    <x v="80"/>
    <x v="15"/>
    <s v="2498448"/>
    <s v="225"/>
    <s v="Everyone Else"/>
    <n v="5"/>
    <s v="1st, 2nd, 5th, 6th, 7th"/>
    <n v="5"/>
    <x v="0"/>
  </r>
  <r>
    <x v="6"/>
    <x v="100"/>
    <x v="4"/>
    <x v="55"/>
    <x v="22"/>
    <s v="2500034"/>
    <s v="128"/>
    <s v="Everyone Else"/>
    <n v="5"/>
    <s v="1st, 2nd, 4th, 5th, 7th"/>
    <n v="11"/>
    <x v="10"/>
  </r>
  <r>
    <x v="6"/>
    <x v="101"/>
    <x v="0"/>
    <x v="69"/>
    <x v="4"/>
    <s v="2497489"/>
    <s v="114"/>
    <s v="Everyone Else"/>
    <n v="5"/>
    <s v="1st, 4th, 5th, 6th, 7th"/>
    <n v="25"/>
    <x v="19"/>
  </r>
  <r>
    <x v="6"/>
    <x v="101"/>
    <x v="0"/>
    <x v="128"/>
    <x v="13"/>
    <s v="2500450"/>
    <s v="117"/>
    <s v="Everyone Else"/>
    <n v="5"/>
    <s v="3rd, 4th, 5th, 6th, 7th"/>
    <n v="11"/>
    <x v="10"/>
  </r>
  <r>
    <x v="6"/>
    <x v="101"/>
    <x v="0"/>
    <x v="127"/>
    <x v="1"/>
    <s v="2497487"/>
    <s v="149"/>
    <s v="Everyone Else"/>
    <n v="7"/>
    <s v="1st, 2nd, 3rd, 4th, 5th, 6th, 7th"/>
    <n v="13"/>
    <x v="12"/>
  </r>
  <r>
    <x v="6"/>
    <x v="101"/>
    <x v="0"/>
    <x v="29"/>
    <x v="3"/>
    <s v="2492766"/>
    <s v="139"/>
    <s v="Everyone Else"/>
    <n v="5"/>
    <s v="2nd, 3rd, 5th, 6th, 7th"/>
    <n v="7"/>
    <x v="8"/>
  </r>
  <r>
    <x v="6"/>
    <x v="101"/>
    <x v="0"/>
    <x v="19"/>
    <x v="15"/>
    <s v="2500999"/>
    <s v="221"/>
    <s v="Everyone Else"/>
    <n v="5"/>
    <s v="1st, 2nd, 3rd, 5th, 6th"/>
    <n v="8"/>
    <x v="3"/>
  </r>
  <r>
    <x v="6"/>
    <x v="101"/>
    <x v="0"/>
    <x v="93"/>
    <x v="6"/>
    <s v="2500389"/>
    <s v="111"/>
    <s v="Everyone Else"/>
    <n v="5"/>
    <s v="1st, 2nd, 4th, 5th, 7th"/>
    <n v="2"/>
    <x v="4"/>
  </r>
  <r>
    <x v="6"/>
    <x v="102"/>
    <x v="1"/>
    <x v="69"/>
    <x v="4"/>
    <s v="2497489"/>
    <s v="114"/>
    <s v="Everyone Else"/>
    <n v="3"/>
    <s v="1st, 5th, 7th"/>
    <n v="25"/>
    <x v="19"/>
  </r>
  <r>
    <x v="6"/>
    <x v="102"/>
    <x v="1"/>
    <x v="128"/>
    <x v="13"/>
    <s v="2500450"/>
    <s v="117"/>
    <s v="Everyone Else"/>
    <n v="3"/>
    <s v="3rd, 5th, 7th"/>
    <n v="11"/>
    <x v="10"/>
  </r>
  <r>
    <x v="6"/>
    <x v="102"/>
    <x v="1"/>
    <x v="127"/>
    <x v="15"/>
    <s v="2497487"/>
    <s v="149"/>
    <s v="Everyone Else"/>
    <n v="4"/>
    <s v="1st, 3rd, 5th, 7th"/>
    <n v="13"/>
    <x v="12"/>
  </r>
  <r>
    <x v="6"/>
    <x v="102"/>
    <x v="1"/>
    <x v="59"/>
    <x v="3"/>
    <s v="2497242"/>
    <s v="231"/>
    <s v="Everyone Else"/>
    <n v="3"/>
    <s v="3rd, 5th, 7th"/>
    <n v="5"/>
    <x v="0"/>
  </r>
  <r>
    <x v="6"/>
    <x v="102"/>
    <x v="1"/>
    <x v="2"/>
    <x v="2"/>
    <s v="2499283"/>
    <s v="136"/>
    <s v="Everyone Else"/>
    <n v="3"/>
    <s v="3rd, 5th, 7th"/>
    <n v="10"/>
    <x v="2"/>
  </r>
  <r>
    <x v="6"/>
    <x v="102"/>
    <x v="1"/>
    <x v="24"/>
    <x v="27"/>
    <s v="2501721"/>
    <s v="121"/>
    <s v="Everyone Else"/>
    <n v="3"/>
    <s v="1st, 3rd, 7th"/>
    <n v="13"/>
    <x v="12"/>
  </r>
  <r>
    <x v="6"/>
    <x v="103"/>
    <x v="2"/>
    <x v="1"/>
    <x v="4"/>
    <s v="2482445"/>
    <s v="214"/>
    <s v="Everyone Else"/>
    <n v="4"/>
    <s v="CCR, 2nd, 4th, 6th"/>
    <n v="47"/>
    <x v="1"/>
  </r>
  <r>
    <x v="6"/>
    <x v="103"/>
    <x v="2"/>
    <x v="69"/>
    <x v="4"/>
    <s v="2497489"/>
    <s v="114"/>
    <s v="Everyone Else"/>
    <n v="3"/>
    <s v="CCR, 4th, 6th"/>
    <n v="25"/>
    <x v="19"/>
  </r>
  <r>
    <x v="6"/>
    <x v="103"/>
    <x v="2"/>
    <x v="35"/>
    <x v="13"/>
    <s v="2500450"/>
    <s v="117"/>
    <s v="Everyone Else"/>
    <n v="3"/>
    <s v="CCR, 4th, 6th"/>
    <n v="10"/>
    <x v="2"/>
  </r>
  <r>
    <x v="6"/>
    <x v="103"/>
    <x v="2"/>
    <x v="127"/>
    <x v="15"/>
    <s v="2497513"/>
    <s v="149"/>
    <s v="Everyone Else"/>
    <n v="4"/>
    <s v="CCR, 2nd, 4th, 6th"/>
    <n v="13"/>
    <x v="12"/>
  </r>
  <r>
    <x v="6"/>
    <x v="103"/>
    <x v="2"/>
    <x v="42"/>
    <x v="1"/>
    <s v="2500013"/>
    <s v="144"/>
    <s v="Everyone Else"/>
    <n v="3"/>
    <s v="CCR, 4th, 6th"/>
    <n v="11"/>
    <x v="10"/>
  </r>
  <r>
    <x v="6"/>
    <x v="103"/>
    <x v="2"/>
    <x v="6"/>
    <x v="3"/>
    <s v="2500358"/>
    <s v="Gym"/>
    <s v="Everyone Else"/>
    <n v="3"/>
    <s v="CCR, 4th, 6th"/>
    <n v="6"/>
    <x v="6"/>
  </r>
  <r>
    <x v="6"/>
    <x v="103"/>
    <x v="2"/>
    <x v="18"/>
    <x v="6"/>
    <s v="2501376"/>
    <s v="201"/>
    <s v="Everyone Else"/>
    <n v="3"/>
    <s v="CCR, 4th, 6th"/>
    <n v="2"/>
    <x v="4"/>
  </r>
  <r>
    <x v="6"/>
    <x v="103"/>
    <x v="2"/>
    <x v="60"/>
    <x v="2"/>
    <s v="2502646"/>
    <s v="122"/>
    <s v="Everyone Else"/>
    <n v="3"/>
    <s v="CCR, 2nd, 4th"/>
    <n v="8"/>
    <x v="3"/>
  </r>
  <r>
    <x v="6"/>
    <x v="103"/>
    <x v="2"/>
    <x v="27"/>
    <x v="6"/>
    <s v="2502864"/>
    <s v="107"/>
    <s v="Everyone Else"/>
    <n v="3"/>
    <s v="CCR, 2nd, 6th"/>
    <n v="11"/>
    <x v="10"/>
  </r>
  <r>
    <x v="6"/>
    <x v="104"/>
    <x v="3"/>
    <x v="69"/>
    <x v="4"/>
    <s v="2497489"/>
    <s v="114"/>
    <s v="Everyone Else"/>
    <n v="5"/>
    <s v="1st, 4th, 5th, 6th, 7th"/>
    <n v="25"/>
    <x v="19"/>
  </r>
  <r>
    <x v="6"/>
    <x v="104"/>
    <x v="3"/>
    <x v="128"/>
    <x v="13"/>
    <s v="2500450"/>
    <s v="117"/>
    <s v="Everyone Else"/>
    <n v="5"/>
    <s v="3rd, 4th, 5th, 6th, 7th"/>
    <n v="11"/>
    <x v="10"/>
  </r>
  <r>
    <x v="6"/>
    <x v="104"/>
    <x v="3"/>
    <x v="127"/>
    <x v="15"/>
    <s v="2497519"/>
    <s v="149"/>
    <s v="Everyone Else"/>
    <n v="7"/>
    <s v="1st, 2nd, 3rd, 4th, 5th, 6th, 7th"/>
    <n v="13"/>
    <x v="12"/>
  </r>
  <r>
    <x v="6"/>
    <x v="104"/>
    <x v="3"/>
    <x v="7"/>
    <x v="2"/>
    <s v="2486474"/>
    <s v="209"/>
    <s v="Everyone Else"/>
    <n v="5"/>
    <s v="1st, 2nd, 3rd, 5th, 6th"/>
    <n v="10"/>
    <x v="2"/>
  </r>
  <r>
    <x v="6"/>
    <x v="104"/>
    <x v="3"/>
    <x v="41"/>
    <x v="1"/>
    <s v="2494553"/>
    <s v="217"/>
    <s v="Everyone Else"/>
    <n v="5"/>
    <s v="1st, 2nd, 5th, 6th, 7th"/>
    <n v="10"/>
    <x v="2"/>
  </r>
  <r>
    <x v="6"/>
    <x v="104"/>
    <x v="3"/>
    <x v="126"/>
    <x v="22"/>
    <s v="2503401"/>
    <s v="205"/>
    <s v="Everyone Else"/>
    <n v="5"/>
    <s v="1st, 2nd, 5th, 6th, 7th"/>
    <n v="2"/>
    <x v="4"/>
  </r>
  <r>
    <x v="6"/>
    <x v="105"/>
    <x v="4"/>
    <x v="69"/>
    <x v="3"/>
    <s v="2497655"/>
    <s v="114"/>
    <s v="Everyone Else"/>
    <n v="5"/>
    <s v="1st, 4th, 5th, 6th, 7th"/>
    <n v="25"/>
    <x v="19"/>
  </r>
  <r>
    <x v="6"/>
    <x v="105"/>
    <x v="4"/>
    <x v="35"/>
    <x v="4"/>
    <s v="2443758"/>
    <s v="117"/>
    <s v="Everyone Else"/>
    <n v="5"/>
    <s v="3rd, 4th, 5th, 6th, 7th"/>
    <n v="10"/>
    <x v="2"/>
  </r>
  <r>
    <x v="6"/>
    <x v="105"/>
    <x v="4"/>
    <x v="44"/>
    <x v="2"/>
    <s v="2497651"/>
    <s v="119"/>
    <s v="Everyone Else"/>
    <n v="5"/>
    <s v="1st, 2nd, 4th, 5th, 7th"/>
    <n v="13"/>
    <x v="12"/>
  </r>
  <r>
    <x v="6"/>
    <x v="105"/>
    <x v="4"/>
    <x v="29"/>
    <x v="13"/>
    <s v="2503584"/>
    <s v="139"/>
    <s v="Everyone Else"/>
    <n v="5"/>
    <s v="2nd, 3rd, 5th, 6th, 7th"/>
    <n v="7"/>
    <x v="8"/>
  </r>
  <r>
    <x v="6"/>
    <x v="105"/>
    <x v="4"/>
    <x v="129"/>
    <x v="17"/>
    <s v="2503353"/>
    <s v="116"/>
    <s v="Everyone Else"/>
    <n v="5"/>
    <s v="1st, 3rd, 4th, 5th, 6th"/>
    <n v="1"/>
    <x v="5"/>
  </r>
  <r>
    <x v="6"/>
    <x v="105"/>
    <x v="4"/>
    <x v="79"/>
    <x v="22"/>
    <s v="2497973"/>
    <s v="216"/>
    <s v="Everyone Else"/>
    <n v="5"/>
    <s v="1st, 2nd, 5th, 6th, 7th"/>
    <n v="5"/>
    <x v="0"/>
  </r>
  <r>
    <x v="6"/>
    <x v="105"/>
    <x v="4"/>
    <x v="0"/>
    <x v="12"/>
    <s v="2504566"/>
    <s v="108"/>
    <s v="Everyone Else"/>
    <n v="5"/>
    <s v="1st, 2nd, 3rd, 4th, 5th"/>
    <n v="5"/>
    <x v="0"/>
  </r>
  <r>
    <x v="6"/>
    <x v="105"/>
    <x v="4"/>
    <x v="87"/>
    <x v="1"/>
    <s v="2504767"/>
    <s v="127"/>
    <s v="Everyone Else"/>
    <n v="5"/>
    <s v="1st, 3rd, 4th, 5th, 6th"/>
    <n v="4"/>
    <x v="16"/>
  </r>
  <r>
    <x v="6"/>
    <x v="106"/>
    <x v="0"/>
    <x v="69"/>
    <x v="3"/>
    <s v="2497546"/>
    <s v="114"/>
    <s v="Everyone Else"/>
    <n v="5"/>
    <s v="1st, 4th, 5th, 6th, 7th"/>
    <n v="25"/>
    <x v="19"/>
  </r>
  <r>
    <x v="6"/>
    <x v="106"/>
    <x v="0"/>
    <x v="35"/>
    <x v="10"/>
    <s v="2443759"/>
    <s v="117"/>
    <s v="Everyone Else"/>
    <n v="5"/>
    <s v="3rd, 4th, 5th, 6th, 7th"/>
    <n v="10"/>
    <x v="2"/>
  </r>
  <r>
    <x v="6"/>
    <x v="106"/>
    <x v="0"/>
    <x v="34"/>
    <x v="1"/>
    <s v="2493770"/>
    <s v="229"/>
    <s v="Everyone Else"/>
    <n v="5"/>
    <s v="3rd, 4th, 5th, 6th, 7th"/>
    <n v="19"/>
    <x v="14"/>
  </r>
  <r>
    <x v="6"/>
    <x v="106"/>
    <x v="0"/>
    <x v="44"/>
    <x v="2"/>
    <s v="2497652"/>
    <s v="119"/>
    <s v="Everyone Else"/>
    <n v="5"/>
    <s v="1st, 2nd, 4th, 5th, 7th"/>
    <n v="13"/>
    <x v="12"/>
  </r>
  <r>
    <x v="6"/>
    <x v="106"/>
    <x v="0"/>
    <x v="14"/>
    <x v="4"/>
    <s v="2505540"/>
    <s v="110"/>
    <s v="Everyone Else"/>
    <n v="5"/>
    <s v="1st, 2nd, 3rd, 6th, 7th"/>
    <n v="7"/>
    <x v="8"/>
  </r>
  <r>
    <x v="6"/>
    <x v="106"/>
    <x v="0"/>
    <x v="84"/>
    <x v="13"/>
    <s v="2506025"/>
    <s v="158"/>
    <s v="Everyone Else"/>
    <n v="5"/>
    <s v="1st, 2nd, 3rd, 4th, 7th"/>
    <n v="9"/>
    <x v="13"/>
  </r>
  <r>
    <x v="6"/>
    <x v="106"/>
    <x v="0"/>
    <x v="39"/>
    <x v="15"/>
    <s v="2505966"/>
    <s v="149"/>
    <s v="Everyone Else"/>
    <n v="7"/>
    <s v="1st, 2nd, 3rd, 4th, 5th, 6th, 7th"/>
    <n v="4"/>
    <x v="16"/>
  </r>
  <r>
    <x v="6"/>
    <x v="107"/>
    <x v="1"/>
    <x v="35"/>
    <x v="28"/>
    <s v="2443760"/>
    <s v="117"/>
    <s v="Everyone Else"/>
    <n v="3"/>
    <s v="3rd, 5th, 7th"/>
    <n v="10"/>
    <x v="2"/>
  </r>
  <r>
    <x v="6"/>
    <x v="107"/>
    <x v="1"/>
    <x v="86"/>
    <x v="1"/>
    <s v="2440384"/>
    <s v="118A"/>
    <s v="Everyone Else"/>
    <n v="2"/>
    <s v="1st, 3rd"/>
    <n v="3"/>
    <x v="17"/>
  </r>
  <r>
    <x v="6"/>
    <x v="107"/>
    <x v="1"/>
    <x v="43"/>
    <x v="13"/>
    <s v="2489150"/>
    <s v="224"/>
    <s v="Everyone Else"/>
    <n v="3"/>
    <s v="3rd, 5th, 7th"/>
    <n v="8"/>
    <x v="3"/>
  </r>
  <r>
    <x v="6"/>
    <x v="107"/>
    <x v="1"/>
    <x v="44"/>
    <x v="2"/>
    <s v="2497652"/>
    <s v="119"/>
    <s v="Everyone Else"/>
    <n v="3"/>
    <s v="1st, 5th, 7th"/>
    <n v="13"/>
    <x v="12"/>
  </r>
  <r>
    <x v="6"/>
    <x v="107"/>
    <x v="1"/>
    <x v="80"/>
    <x v="3"/>
    <s v="2502879"/>
    <s v="225"/>
    <s v="Everyone Else"/>
    <n v="3"/>
    <s v="1st, 5th, 7th"/>
    <n v="5"/>
    <x v="0"/>
  </r>
  <r>
    <x v="6"/>
    <x v="107"/>
    <x v="1"/>
    <x v="50"/>
    <x v="4"/>
    <s v="2506901"/>
    <s v="Tea Room"/>
    <s v="Everyone Else"/>
    <n v="3"/>
    <s v="1st, 3rd, 5th"/>
    <n v="20"/>
    <x v="18"/>
  </r>
  <r>
    <x v="6"/>
    <x v="108"/>
    <x v="2"/>
    <x v="41"/>
    <x v="8"/>
    <m/>
    <s v="217"/>
    <s v="Everyone Else"/>
    <n v="3"/>
    <s v="CCR, 2nd, 6th"/>
    <n v="10"/>
    <x v="2"/>
  </r>
  <r>
    <x v="6"/>
    <x v="108"/>
    <x v="2"/>
    <x v="128"/>
    <x v="2"/>
    <s v="2497652"/>
    <s v="117"/>
    <s v="Everyone Else"/>
    <n v="3"/>
    <s v="CCR, 4th, 6th"/>
    <n v="11"/>
    <x v="10"/>
  </r>
  <r>
    <x v="6"/>
    <x v="108"/>
    <x v="2"/>
    <x v="130"/>
    <x v="4"/>
    <s v="2507130"/>
    <s v="142"/>
    <s v="Everyone Else"/>
    <n v="3"/>
    <s v="CCR, 4th, 6th"/>
    <n v="1"/>
    <x v="5"/>
  </r>
  <r>
    <x v="6"/>
    <x v="108"/>
    <x v="2"/>
    <x v="8"/>
    <x v="15"/>
    <s v="2507851"/>
    <s v="149"/>
    <s v="Everyone Else"/>
    <n v="4"/>
    <s v="CCR, 2nd, 4th, 6th"/>
    <n v="5"/>
    <x v="0"/>
  </r>
  <r>
    <x v="6"/>
    <x v="108"/>
    <x v="2"/>
    <x v="27"/>
    <x v="3"/>
    <s v="2507470"/>
    <s v="107"/>
    <s v="Everyone Else"/>
    <n v="3"/>
    <s v="CCR, 2nd, 6th"/>
    <n v="11"/>
    <x v="10"/>
  </r>
  <r>
    <x v="6"/>
    <x v="109"/>
    <x v="3"/>
    <x v="128"/>
    <x v="2"/>
    <s v="2497652"/>
    <s v="117"/>
    <s v="Everyone Else"/>
    <n v="5"/>
    <s v="3rd, 4th, 5th, 6th, 7th"/>
    <n v="11"/>
    <x v="10"/>
  </r>
  <r>
    <x v="6"/>
    <x v="109"/>
    <x v="3"/>
    <x v="27"/>
    <x v="3"/>
    <s v="2507470"/>
    <s v="107"/>
    <s v="Everyone Else"/>
    <n v="5"/>
    <s v="1st, 2nd, 3rd, 6th, 7th"/>
    <n v="11"/>
    <x v="10"/>
  </r>
  <r>
    <x v="6"/>
    <x v="109"/>
    <x v="3"/>
    <x v="34"/>
    <x v="4"/>
    <s v="2507858"/>
    <s v="229"/>
    <s v="Everyone Else"/>
    <n v="5"/>
    <s v="3rd, 4th, 5th, 6th, 7th"/>
    <n v="19"/>
    <x v="14"/>
  </r>
  <r>
    <x v="6"/>
    <x v="109"/>
    <x v="3"/>
    <x v="8"/>
    <x v="15"/>
    <s v="2507851"/>
    <s v="149"/>
    <s v="Everyone Else"/>
    <n v="7"/>
    <s v="1st, 2nd, 3rd, 4th, 5th, 6th, 7th"/>
    <n v="5"/>
    <x v="0"/>
  </r>
  <r>
    <x v="6"/>
    <x v="109"/>
    <x v="3"/>
    <x v="10"/>
    <x v="13"/>
    <s v="2508319"/>
    <s v="118"/>
    <s v="Everyone Else"/>
    <n v="6"/>
    <s v="1st, 2nd, 3rd, 4th, 5th, 6th"/>
    <n v="7"/>
    <x v="8"/>
  </r>
  <r>
    <x v="6"/>
    <x v="110"/>
    <x v="4"/>
    <x v="84"/>
    <x v="3"/>
    <s v="2495928"/>
    <s v="158"/>
    <s v="Everyone Else"/>
    <n v="5"/>
    <s v="1st, 2nd, 3rd, 4th, 7th"/>
    <n v="9"/>
    <x v="13"/>
  </r>
  <r>
    <x v="6"/>
    <x v="110"/>
    <x v="4"/>
    <x v="9"/>
    <x v="4"/>
    <s v="2495949"/>
    <s v="162"/>
    <s v="Everyone Else"/>
    <n v="5"/>
    <s v="1st, 2nd, 3rd, 4th, 7th"/>
    <n v="15"/>
    <x v="7"/>
  </r>
  <r>
    <x v="6"/>
    <x v="110"/>
    <x v="4"/>
    <x v="91"/>
    <x v="2"/>
    <s v="2496673"/>
    <s v="147"/>
    <s v="Everyone Else"/>
    <n v="5"/>
    <s v="1st, 2nd, 4th, 5th, 7th"/>
    <n v="7"/>
    <x v="8"/>
  </r>
  <r>
    <x v="6"/>
    <x v="110"/>
    <x v="4"/>
    <x v="128"/>
    <x v="13"/>
    <s v="2497656"/>
    <s v="117"/>
    <s v="Everyone Else"/>
    <n v="5"/>
    <s v="3rd, 4th, 5th, 6th, 7th"/>
    <n v="11"/>
    <x v="10"/>
  </r>
  <r>
    <x v="6"/>
    <x v="110"/>
    <x v="4"/>
    <x v="29"/>
    <x v="1"/>
    <s v="2510720"/>
    <s v="139"/>
    <s v="Everyone Else"/>
    <n v="5"/>
    <s v="2nd, 3rd, 5th, 6th, 7th"/>
    <n v="7"/>
    <x v="8"/>
  </r>
  <r>
    <x v="6"/>
    <x v="110"/>
    <x v="4"/>
    <x v="127"/>
    <x v="15"/>
    <s v="2509417"/>
    <s v="149"/>
    <s v="Everyone Else"/>
    <n v="7"/>
    <s v="1st, 2nd, 3rd, 4th, 5th, 6th, 7th"/>
    <n v="13"/>
    <x v="12"/>
  </r>
  <r>
    <x v="6"/>
    <x v="111"/>
    <x v="0"/>
    <x v="84"/>
    <x v="3"/>
    <s v="2495928"/>
    <s v="158"/>
    <s v="Everyone Else"/>
    <n v="5"/>
    <s v="1st, 2nd, 3rd, 4th, 7th"/>
    <n v="9"/>
    <x v="13"/>
  </r>
  <r>
    <x v="6"/>
    <x v="111"/>
    <x v="0"/>
    <x v="9"/>
    <x v="4"/>
    <s v="2495949"/>
    <s v="162"/>
    <s v="Everyone Else"/>
    <n v="5"/>
    <s v="1st, 2nd, 3rd, 4th, 7th"/>
    <n v="15"/>
    <x v="7"/>
  </r>
  <r>
    <x v="6"/>
    <x v="111"/>
    <x v="0"/>
    <x v="91"/>
    <x v="2"/>
    <s v="2496673"/>
    <s v="147"/>
    <s v="Everyone Else"/>
    <n v="5"/>
    <s v="1st, 2nd, 4th, 5th, 7th"/>
    <n v="7"/>
    <x v="8"/>
  </r>
  <r>
    <x v="6"/>
    <x v="111"/>
    <x v="0"/>
    <x v="128"/>
    <x v="13"/>
    <s v="2497656"/>
    <s v="117"/>
    <s v="Everyone Else"/>
    <n v="5"/>
    <s v="3rd, 4th, 5th, 6th, 7th"/>
    <n v="11"/>
    <x v="10"/>
  </r>
  <r>
    <x v="6"/>
    <x v="111"/>
    <x v="0"/>
    <x v="26"/>
    <x v="1"/>
    <s v="2511483"/>
    <s v="142"/>
    <s v="Everyone Else"/>
    <n v="5"/>
    <s v="1st, 4th, 5th, 6th, 7th"/>
    <n v="9"/>
    <x v="13"/>
  </r>
  <r>
    <x v="6"/>
    <x v="111"/>
    <x v="0"/>
    <x v="127"/>
    <x v="15"/>
    <s v="2509417"/>
    <s v="149"/>
    <s v="Everyone Else"/>
    <n v="7"/>
    <s v="1st, 2nd, 3rd, 4th, 5th, 6th, 7th"/>
    <n v="13"/>
    <x v="12"/>
  </r>
  <r>
    <x v="6"/>
    <x v="112"/>
    <x v="1"/>
    <x v="128"/>
    <x v="13"/>
    <s v="2497656"/>
    <s v="117"/>
    <s v="Everyone Else"/>
    <n v="3"/>
    <s v="3rd, 5th, 7th"/>
    <n v="11"/>
    <x v="10"/>
  </r>
  <r>
    <x v="6"/>
    <x v="112"/>
    <x v="1"/>
    <x v="42"/>
    <x v="8"/>
    <s v="2482396"/>
    <s v="144"/>
    <s v="Everyone Else"/>
    <n v="3"/>
    <s v="1st, 5th, 7th"/>
    <n v="11"/>
    <x v="10"/>
  </r>
  <r>
    <x v="6"/>
    <x v="112"/>
    <x v="1"/>
    <x v="91"/>
    <x v="4"/>
    <s v="2513389"/>
    <s v="147"/>
    <s v="Everyone Else"/>
    <n v="3"/>
    <s v="1st, 5th, 7th"/>
    <n v="7"/>
    <x v="8"/>
  </r>
  <r>
    <x v="6"/>
    <x v="112"/>
    <x v="1"/>
    <x v="80"/>
    <x v="2"/>
    <s v="2507968"/>
    <s v="225"/>
    <s v="Everyone Else"/>
    <n v="3"/>
    <s v="1st, 5th, 7th"/>
    <n v="5"/>
    <x v="0"/>
  </r>
  <r>
    <x v="6"/>
    <x v="112"/>
    <x v="1"/>
    <x v="75"/>
    <x v="1"/>
    <s v="2510819"/>
    <s v="230"/>
    <s v="Everyone Else"/>
    <n v="3"/>
    <s v="3rd, 5th, 7th"/>
    <n v="6"/>
    <x v="6"/>
  </r>
  <r>
    <x v="6"/>
    <x v="112"/>
    <x v="1"/>
    <x v="6"/>
    <x v="3"/>
    <s v="2512651"/>
    <s v="Gym"/>
    <s v="Everyone Else"/>
    <n v="3"/>
    <s v="1st, 3rd, 5th"/>
    <n v="6"/>
    <x v="6"/>
  </r>
  <r>
    <x v="6"/>
    <x v="113"/>
    <x v="2"/>
    <x v="128"/>
    <x v="13"/>
    <s v="2497656"/>
    <s v="117"/>
    <s v="Everyone Else"/>
    <n v="3"/>
    <s v="6th, 4th, CCR"/>
    <n v="11"/>
    <x v="10"/>
  </r>
  <r>
    <x v="6"/>
    <x v="113"/>
    <x v="2"/>
    <x v="42"/>
    <x v="4"/>
    <s v="2482396"/>
    <s v="144"/>
    <s v="Everyone Else"/>
    <n v="3"/>
    <s v="6th, 4th, CCR"/>
    <n v="11"/>
    <x v="10"/>
  </r>
  <r>
    <x v="6"/>
    <x v="113"/>
    <x v="2"/>
    <x v="10"/>
    <x v="3"/>
    <s v="2485657"/>
    <s v="118"/>
    <s v="Everyone Else"/>
    <n v="4"/>
    <s v="6th, 2nd, 4th, CCR"/>
    <n v="7"/>
    <x v="8"/>
  </r>
  <r>
    <x v="6"/>
    <x v="113"/>
    <x v="2"/>
    <x v="60"/>
    <x v="1"/>
    <s v="2486486"/>
    <s v="122"/>
    <s v="Everyone Else"/>
    <n v="3"/>
    <s v="2nd, 4th, CCR"/>
    <n v="8"/>
    <x v="3"/>
  </r>
  <r>
    <x v="6"/>
    <x v="113"/>
    <x v="2"/>
    <x v="127"/>
    <x v="15"/>
    <s v="2509417"/>
    <s v="149"/>
    <s v="Everyone Else"/>
    <n v="4"/>
    <s v="6th, 2nd, 4th, CCR"/>
    <n v="13"/>
    <x v="12"/>
  </r>
  <r>
    <x v="6"/>
    <x v="113"/>
    <x v="2"/>
    <x v="131"/>
    <x v="2"/>
    <s v="2514140"/>
    <s v="227"/>
    <s v="Everyone Else"/>
    <n v="3"/>
    <s v="6th, 4th, CCR"/>
    <n v="1"/>
    <x v="5"/>
  </r>
  <r>
    <x v="6"/>
    <x v="114"/>
    <x v="3"/>
    <x v="128"/>
    <x v="13"/>
    <s v="2497656"/>
    <s v="117"/>
    <s v="Everyone Else"/>
    <n v="5"/>
    <s v="3rd, 4th, 5th, 6th, 7th"/>
    <n v="11"/>
    <x v="10"/>
  </r>
  <r>
    <x v="6"/>
    <x v="114"/>
    <x v="3"/>
    <x v="42"/>
    <x v="8"/>
    <s v="2482396"/>
    <s v="144"/>
    <s v="Everyone Else"/>
    <n v="5"/>
    <s v="1st, 4th, 5th, 6th, 7th"/>
    <n v="11"/>
    <x v="10"/>
  </r>
  <r>
    <x v="6"/>
    <x v="114"/>
    <x v="3"/>
    <x v="51"/>
    <x v="4"/>
    <s v="2493672"/>
    <s v="111"/>
    <s v="Everyone Else"/>
    <n v="5"/>
    <s v="1st, 2nd, 4th, 5th, 7th"/>
    <n v="8"/>
    <x v="3"/>
  </r>
  <r>
    <x v="6"/>
    <x v="114"/>
    <x v="3"/>
    <x v="91"/>
    <x v="3"/>
    <s v="2507432"/>
    <s v="147"/>
    <s v="Everyone Else"/>
    <n v="5"/>
    <s v="1st, 2nd, 4th, 5th, 7th"/>
    <n v="7"/>
    <x v="8"/>
  </r>
  <r>
    <x v="6"/>
    <x v="114"/>
    <x v="3"/>
    <x v="127"/>
    <x v="15"/>
    <s v="2509417"/>
    <s v="149"/>
    <s v="Everyone Else"/>
    <n v="7"/>
    <s v="1st, 2nd, 3rd, 4th, 5th, 6th, 7th"/>
    <n v="13"/>
    <x v="12"/>
  </r>
  <r>
    <x v="6"/>
    <x v="114"/>
    <x v="3"/>
    <x v="49"/>
    <x v="1"/>
    <s v="2512531"/>
    <s v="149"/>
    <s v="Everyone Else"/>
    <n v="7"/>
    <s v="1st, 2nd, 3rd, 4th, 5th, 6th, 7th"/>
    <n v="7"/>
    <x v="8"/>
  </r>
  <r>
    <x v="6"/>
    <x v="114"/>
    <x v="3"/>
    <x v="11"/>
    <x v="2"/>
    <s v="2515610"/>
    <s v="208"/>
    <s v="Everyone Else"/>
    <n v="5"/>
    <s v="1st, 2nd, 3rd, 5th, 6th"/>
    <n v="18"/>
    <x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E68719E-C42E-4824-98A1-2659470B5E52}" name="K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0" firstDataRow="1" firstDataCol="0" rowPageCount="1" colPageCount="1"/>
  <pivotFields count="16">
    <pivotField axis="axisPage" multipleItemSelectionAllowed="1" showAll="0">
      <items count="8">
        <item x="5"/>
        <item x="6"/>
        <item x="0"/>
        <item x="1"/>
        <item x="2"/>
        <item x="3"/>
        <item x="4"/>
        <item t="default"/>
      </items>
    </pivotField>
    <pivotField showAll="0">
      <items count="116">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pivotField>
    <pivotField showAll="0"/>
    <pivotField showAll="0"/>
    <pivotField dataField="1" showAll="0"/>
    <pivotField showAll="0"/>
    <pivotField showAll="0"/>
    <pivotField showAll="0"/>
    <pivotField dataField="1" showAll="0"/>
    <pivotField showAll="0"/>
    <pivotField showAll="0"/>
    <pivotField showAl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Items count="1">
    <i/>
  </rowItems>
  <colFields count="1">
    <field x="-2"/>
  </colFields>
  <colItems count="2">
    <i>
      <x/>
    </i>
    <i i="1">
      <x v="1"/>
    </i>
  </colItems>
  <pageFields count="1">
    <pageField fld="0" hier="-1"/>
  </pageFields>
  <dataFields count="2">
    <dataField name="Total Periods" fld="8" baseField="0" baseItem="1"/>
    <dataField name="Total Classes" fld="4" subtotal="count" baseField="0" baseItem="1"/>
  </dataFields>
  <formats count="1">
    <format dxfId="11">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F3D2543-D1E9-4D04-9F49-4D157E04B459}" name="Classroom_Associate_Workload"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2">
  <location ref="A3:C10" firstHeaderRow="0" firstDataRow="1" firstDataCol="1"/>
  <pivotFields count="16">
    <pivotField showAll="0">
      <items count="8">
        <item x="0"/>
        <item x="1"/>
        <item x="2"/>
        <item x="3"/>
        <item x="4"/>
        <item x="5"/>
        <item x="6"/>
        <item t="default"/>
      </items>
    </pivotField>
    <pivotField numFmtId="14" showAll="0">
      <items count="116">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pivotField>
    <pivotField showAll="0"/>
    <pivotField showAll="0"/>
    <pivotField axis="axisRow" showAll="0" sortType="ascending">
      <items count="30">
        <item h="1" x="26"/>
        <item h="1" x="25"/>
        <item h="1" x="22"/>
        <item h="1" x="21"/>
        <item h="1" x="8"/>
        <item h="1" x="19"/>
        <item h="1" x="17"/>
        <item h="1" x="0"/>
        <item x="15"/>
        <item h="1" x="27"/>
        <item h="1" x="16"/>
        <item h="1" x="7"/>
        <item h="1" x="14"/>
        <item h="1" x="6"/>
        <item x="2"/>
        <item x="3"/>
        <item h="1" x="11"/>
        <item h="1" x="23"/>
        <item x="1"/>
        <item h="1" x="18"/>
        <item h="1" x="20"/>
        <item h="1" x="24"/>
        <item h="1" x="10"/>
        <item h="1" x="5"/>
        <item h="1" x="28"/>
        <item x="4"/>
        <item h="1" x="9"/>
        <item h="1" x="12"/>
        <item x="13"/>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 dataField="1"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4"/>
  </rowFields>
  <rowItems count="7">
    <i>
      <x v="8"/>
    </i>
    <i>
      <x v="28"/>
    </i>
    <i>
      <x v="15"/>
    </i>
    <i>
      <x v="14"/>
    </i>
    <i>
      <x v="18"/>
    </i>
    <i>
      <x v="25"/>
    </i>
    <i t="grand">
      <x/>
    </i>
  </rowItems>
  <colFields count="1">
    <field x="-2"/>
  </colFields>
  <colItems count="2">
    <i>
      <x/>
    </i>
    <i i="1">
      <x v="1"/>
    </i>
  </colItems>
  <dataFields count="2">
    <dataField name="Periods Covered " fld="8" baseField="4" baseItem="15"/>
    <dataField name="Remainder " fld="12" baseField="4" baseItem="8"/>
  </dataFields>
  <chartFormats count="40">
    <chartFormat chart="20"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1"/>
          </reference>
        </references>
      </pivotArea>
    </chartFormat>
    <chartFormat chart="20" format="2">
      <pivotArea type="data" outline="0" fieldPosition="0">
        <references count="2">
          <reference field="4294967294" count="1" selected="0">
            <x v="0"/>
          </reference>
          <reference field="4" count="1" selected="0">
            <x v="25"/>
          </reference>
        </references>
      </pivotArea>
    </chartFormat>
    <chartFormat chart="20" format="3">
      <pivotArea type="data" outline="0" fieldPosition="0">
        <references count="2">
          <reference field="4294967294" count="1" selected="0">
            <x v="0"/>
          </reference>
          <reference field="4" count="1" selected="0">
            <x v="18"/>
          </reference>
        </references>
      </pivotArea>
    </chartFormat>
    <chartFormat chart="20" format="4">
      <pivotArea type="data" outline="0" fieldPosition="0">
        <references count="2">
          <reference field="4294967294" count="1" selected="0">
            <x v="0"/>
          </reference>
          <reference field="4" count="1" selected="0">
            <x v="14"/>
          </reference>
        </references>
      </pivotArea>
    </chartFormat>
    <chartFormat chart="20" format="5">
      <pivotArea type="data" outline="0" fieldPosition="0">
        <references count="2">
          <reference field="4294967294" count="1" selected="0">
            <x v="0"/>
          </reference>
          <reference field="4" count="1" selected="0">
            <x v="15"/>
          </reference>
        </references>
      </pivotArea>
    </chartFormat>
    <chartFormat chart="20" format="6">
      <pivotArea type="data" outline="0" fieldPosition="0">
        <references count="2">
          <reference field="4294967294" count="1" selected="0">
            <x v="0"/>
          </reference>
          <reference field="4" count="1" selected="0">
            <x v="28"/>
          </reference>
        </references>
      </pivotArea>
    </chartFormat>
    <chartFormat chart="20" format="7">
      <pivotArea type="data" outline="0" fieldPosition="0">
        <references count="2">
          <reference field="4294967294" count="1" selected="0">
            <x v="0"/>
          </reference>
          <reference field="4" count="1" selected="0">
            <x v="8"/>
          </reference>
        </references>
      </pivotArea>
    </chartFormat>
    <chartFormat chart="25" format="16" series="1">
      <pivotArea type="data" outline="0" fieldPosition="0">
        <references count="1">
          <reference field="4294967294" count="1" selected="0">
            <x v="0"/>
          </reference>
        </references>
      </pivotArea>
    </chartFormat>
    <chartFormat chart="25" format="17">
      <pivotArea type="data" outline="0" fieldPosition="0">
        <references count="2">
          <reference field="4294967294" count="1" selected="0">
            <x v="0"/>
          </reference>
          <reference field="4" count="1" selected="0">
            <x v="8"/>
          </reference>
        </references>
      </pivotArea>
    </chartFormat>
    <chartFormat chart="25" format="18">
      <pivotArea type="data" outline="0" fieldPosition="0">
        <references count="2">
          <reference field="4294967294" count="1" selected="0">
            <x v="0"/>
          </reference>
          <reference field="4" count="1" selected="0">
            <x v="28"/>
          </reference>
        </references>
      </pivotArea>
    </chartFormat>
    <chartFormat chart="25" format="19">
      <pivotArea type="data" outline="0" fieldPosition="0">
        <references count="2">
          <reference field="4294967294" count="1" selected="0">
            <x v="0"/>
          </reference>
          <reference field="4" count="1" selected="0">
            <x v="15"/>
          </reference>
        </references>
      </pivotArea>
    </chartFormat>
    <chartFormat chart="25" format="20">
      <pivotArea type="data" outline="0" fieldPosition="0">
        <references count="2">
          <reference field="4294967294" count="1" selected="0">
            <x v="0"/>
          </reference>
          <reference field="4" count="1" selected="0">
            <x v="14"/>
          </reference>
        </references>
      </pivotArea>
    </chartFormat>
    <chartFormat chart="25" format="21">
      <pivotArea type="data" outline="0" fieldPosition="0">
        <references count="2">
          <reference field="4294967294" count="1" selected="0">
            <x v="0"/>
          </reference>
          <reference field="4" count="1" selected="0">
            <x v="18"/>
          </reference>
        </references>
      </pivotArea>
    </chartFormat>
    <chartFormat chart="25" format="22">
      <pivotArea type="data" outline="0" fieldPosition="0">
        <references count="2">
          <reference field="4294967294" count="1" selected="0">
            <x v="0"/>
          </reference>
          <reference field="4" count="1" selected="0">
            <x v="25"/>
          </reference>
        </references>
      </pivotArea>
    </chartFormat>
    <chartFormat chart="25" format="23" series="1">
      <pivotArea type="data" outline="0" fieldPosition="0">
        <references count="1">
          <reference field="4294967294" count="1" selected="0">
            <x v="1"/>
          </reference>
        </references>
      </pivotArea>
    </chartFormat>
    <chartFormat chart="27" format="0" series="1">
      <pivotArea type="data" outline="0" fieldPosition="0">
        <references count="1">
          <reference field="4294967294" count="1" selected="0">
            <x v="0"/>
          </reference>
        </references>
      </pivotArea>
    </chartFormat>
    <chartFormat chart="27" format="1" series="1">
      <pivotArea type="data" outline="0" fieldPosition="0">
        <references count="1">
          <reference field="4294967294" count="1" selected="0">
            <x v="1"/>
          </reference>
        </references>
      </pivotArea>
    </chartFormat>
    <chartFormat chart="27" format="2">
      <pivotArea type="data" outline="0" fieldPosition="0">
        <references count="2">
          <reference field="4294967294" count="1" selected="0">
            <x v="0"/>
          </reference>
          <reference field="4" count="1" selected="0">
            <x v="18"/>
          </reference>
        </references>
      </pivotArea>
    </chartFormat>
    <chartFormat chart="27" format="3">
      <pivotArea type="data" outline="0" fieldPosition="0">
        <references count="2">
          <reference field="4294967294" count="1" selected="0">
            <x v="0"/>
          </reference>
          <reference field="4" count="1" selected="0">
            <x v="25"/>
          </reference>
        </references>
      </pivotArea>
    </chartFormat>
    <chartFormat chart="27" format="4">
      <pivotArea type="data" outline="0" fieldPosition="0">
        <references count="2">
          <reference field="4294967294" count="1" selected="0">
            <x v="0"/>
          </reference>
          <reference field="4" count="1" selected="0">
            <x v="14"/>
          </reference>
        </references>
      </pivotArea>
    </chartFormat>
    <chartFormat chart="27" format="5">
      <pivotArea type="data" outline="0" fieldPosition="0">
        <references count="2">
          <reference field="4294967294" count="1" selected="0">
            <x v="0"/>
          </reference>
          <reference field="4" count="1" selected="0">
            <x v="15"/>
          </reference>
        </references>
      </pivotArea>
    </chartFormat>
    <chartFormat chart="27" format="6">
      <pivotArea type="data" outline="0" fieldPosition="0">
        <references count="2">
          <reference field="4294967294" count="1" selected="0">
            <x v="0"/>
          </reference>
          <reference field="4" count="1" selected="0">
            <x v="28"/>
          </reference>
        </references>
      </pivotArea>
    </chartFormat>
    <chartFormat chart="27" format="7">
      <pivotArea type="data" outline="0" fieldPosition="0">
        <references count="2">
          <reference field="4294967294" count="1" selected="0">
            <x v="0"/>
          </reference>
          <reference field="4" count="1" selected="0">
            <x v="8"/>
          </reference>
        </references>
      </pivotArea>
    </chartFormat>
    <chartFormat chart="30" format="8" series="1">
      <pivotArea type="data" outline="0" fieldPosition="0">
        <references count="1">
          <reference field="4294967294" count="1" selected="0">
            <x v="0"/>
          </reference>
        </references>
      </pivotArea>
    </chartFormat>
    <chartFormat chart="30" format="9">
      <pivotArea type="data" outline="0" fieldPosition="0">
        <references count="2">
          <reference field="4294967294" count="1" selected="0">
            <x v="0"/>
          </reference>
          <reference field="4" count="1" selected="0">
            <x v="8"/>
          </reference>
        </references>
      </pivotArea>
    </chartFormat>
    <chartFormat chart="30" format="10">
      <pivotArea type="data" outline="0" fieldPosition="0">
        <references count="2">
          <reference field="4294967294" count="1" selected="0">
            <x v="0"/>
          </reference>
          <reference field="4" count="1" selected="0">
            <x v="28"/>
          </reference>
        </references>
      </pivotArea>
    </chartFormat>
    <chartFormat chart="30" format="11">
      <pivotArea type="data" outline="0" fieldPosition="0">
        <references count="2">
          <reference field="4294967294" count="1" selected="0">
            <x v="0"/>
          </reference>
          <reference field="4" count="1" selected="0">
            <x v="15"/>
          </reference>
        </references>
      </pivotArea>
    </chartFormat>
    <chartFormat chart="30" format="12">
      <pivotArea type="data" outline="0" fieldPosition="0">
        <references count="2">
          <reference field="4294967294" count="1" selected="0">
            <x v="0"/>
          </reference>
          <reference field="4" count="1" selected="0">
            <x v="14"/>
          </reference>
        </references>
      </pivotArea>
    </chartFormat>
    <chartFormat chart="30" format="13">
      <pivotArea type="data" outline="0" fieldPosition="0">
        <references count="2">
          <reference field="4294967294" count="1" selected="0">
            <x v="0"/>
          </reference>
          <reference field="4" count="1" selected="0">
            <x v="18"/>
          </reference>
        </references>
      </pivotArea>
    </chartFormat>
    <chartFormat chart="30" format="14">
      <pivotArea type="data" outline="0" fieldPosition="0">
        <references count="2">
          <reference field="4294967294" count="1" selected="0">
            <x v="0"/>
          </reference>
          <reference field="4" count="1" selected="0">
            <x v="25"/>
          </reference>
        </references>
      </pivotArea>
    </chartFormat>
    <chartFormat chart="30" format="15" series="1">
      <pivotArea type="data" outline="0" fieldPosition="0">
        <references count="1">
          <reference field="4294967294" count="1" selected="0">
            <x v="1"/>
          </reference>
        </references>
      </pivotArea>
    </chartFormat>
    <chartFormat chart="31" format="16" series="1">
      <pivotArea type="data" outline="0" fieldPosition="0">
        <references count="1">
          <reference field="4294967294" count="1" selected="0">
            <x v="0"/>
          </reference>
        </references>
      </pivotArea>
    </chartFormat>
    <chartFormat chart="31" format="17">
      <pivotArea type="data" outline="0" fieldPosition="0">
        <references count="2">
          <reference field="4294967294" count="1" selected="0">
            <x v="0"/>
          </reference>
          <reference field="4" count="1" selected="0">
            <x v="8"/>
          </reference>
        </references>
      </pivotArea>
    </chartFormat>
    <chartFormat chart="31" format="18">
      <pivotArea type="data" outline="0" fieldPosition="0">
        <references count="2">
          <reference field="4294967294" count="1" selected="0">
            <x v="0"/>
          </reference>
          <reference field="4" count="1" selected="0">
            <x v="28"/>
          </reference>
        </references>
      </pivotArea>
    </chartFormat>
    <chartFormat chart="31" format="19">
      <pivotArea type="data" outline="0" fieldPosition="0">
        <references count="2">
          <reference field="4294967294" count="1" selected="0">
            <x v="0"/>
          </reference>
          <reference field="4" count="1" selected="0">
            <x v="15"/>
          </reference>
        </references>
      </pivotArea>
    </chartFormat>
    <chartFormat chart="31" format="20">
      <pivotArea type="data" outline="0" fieldPosition="0">
        <references count="2">
          <reference field="4294967294" count="1" selected="0">
            <x v="0"/>
          </reference>
          <reference field="4" count="1" selected="0">
            <x v="14"/>
          </reference>
        </references>
      </pivotArea>
    </chartFormat>
    <chartFormat chart="31" format="21">
      <pivotArea type="data" outline="0" fieldPosition="0">
        <references count="2">
          <reference field="4294967294" count="1" selected="0">
            <x v="0"/>
          </reference>
          <reference field="4" count="1" selected="0">
            <x v="18"/>
          </reference>
        </references>
      </pivotArea>
    </chartFormat>
    <chartFormat chart="31" format="22">
      <pivotArea type="data" outline="0" fieldPosition="0">
        <references count="2">
          <reference field="4294967294" count="1" selected="0">
            <x v="0"/>
          </reference>
          <reference field="4" count="1" selected="0">
            <x v="25"/>
          </reference>
        </references>
      </pivotArea>
    </chartFormat>
    <chartFormat chart="31" format="2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AD4015F-7417-43B3-B757-567EC8334930}" name="Outside_Sub_Coverag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13" firstHeaderRow="0" firstDataRow="1" firstDataCol="1"/>
  <pivotFields count="16">
    <pivotField showAll="0">
      <items count="8">
        <item x="0"/>
        <item x="1"/>
        <item x="2"/>
        <item x="3"/>
        <item x="4"/>
        <item x="5"/>
        <item x="6"/>
        <item t="default"/>
      </items>
    </pivotField>
    <pivotField numFmtId="14" showAll="0">
      <items count="116">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pivotField>
    <pivotField showAll="0"/>
    <pivotField showAll="0"/>
    <pivotField axis="axisRow" showAll="0" sortType="ascending">
      <items count="30">
        <item h="1" x="26"/>
        <item h="1" x="25"/>
        <item x="22"/>
        <item h="1" x="21"/>
        <item x="8"/>
        <item h="1" x="19"/>
        <item x="17"/>
        <item h="1" x="0"/>
        <item h="1" x="15"/>
        <item h="1" x="27"/>
        <item h="1" x="16"/>
        <item h="1" x="7"/>
        <item x="14"/>
        <item x="6"/>
        <item h="1" x="2"/>
        <item h="1" x="3"/>
        <item h="1" x="11"/>
        <item x="23"/>
        <item h="1" x="1"/>
        <item h="1" x="18"/>
        <item h="1" x="20"/>
        <item h="1" x="24"/>
        <item x="10"/>
        <item x="5"/>
        <item h="1" x="28"/>
        <item h="1" x="4"/>
        <item h="1" x="9"/>
        <item x="12"/>
        <item h="1" x="13"/>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 dragToRow="0" dragToCol="0" dragToPage="0" showAll="0" defaultSubtota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dataField="1" dragToRow="0" dragToCol="0" dragToPage="0" showAll="0" defaultSubtotal="0"/>
  </pivotFields>
  <rowFields count="1">
    <field x="4"/>
  </rowFields>
  <rowItems count="10">
    <i>
      <x v="12"/>
    </i>
    <i>
      <x v="23"/>
    </i>
    <i>
      <x v="17"/>
    </i>
    <i>
      <x v="22"/>
    </i>
    <i>
      <x v="13"/>
    </i>
    <i>
      <x v="27"/>
    </i>
    <i>
      <x v="4"/>
    </i>
    <i>
      <x v="6"/>
    </i>
    <i>
      <x v="2"/>
    </i>
    <i t="grand">
      <x/>
    </i>
  </rowItems>
  <colFields count="1">
    <field x="-2"/>
  </colFields>
  <colItems count="2">
    <i>
      <x/>
    </i>
    <i i="1">
      <x v="1"/>
    </i>
  </colItems>
  <dataFields count="2">
    <dataField name="Periods Covered " fld="8" baseField="4" baseItem="2"/>
    <dataField name="Sum of Field1" fld="15" baseField="0" baseItem="0"/>
  </dataFields>
  <chartFormats count="2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4" count="1" selected="0">
            <x v="2"/>
          </reference>
        </references>
      </pivotArea>
    </chartFormat>
    <chartFormat chart="0" format="3">
      <pivotArea type="data" outline="0" fieldPosition="0">
        <references count="2">
          <reference field="4294967294" count="1" selected="0">
            <x v="0"/>
          </reference>
          <reference field="4" count="1" selected="0">
            <x v="6"/>
          </reference>
        </references>
      </pivotArea>
    </chartFormat>
    <chartFormat chart="0" format="4">
      <pivotArea type="data" outline="0" fieldPosition="0">
        <references count="2">
          <reference field="4294967294" count="1" selected="0">
            <x v="0"/>
          </reference>
          <reference field="4" count="1" selected="0">
            <x v="4"/>
          </reference>
        </references>
      </pivotArea>
    </chartFormat>
    <chartFormat chart="0" format="5">
      <pivotArea type="data" outline="0" fieldPosition="0">
        <references count="2">
          <reference field="4294967294" count="1" selected="0">
            <x v="0"/>
          </reference>
          <reference field="4" count="1" selected="0">
            <x v="27"/>
          </reference>
        </references>
      </pivotArea>
    </chartFormat>
    <chartFormat chart="0" format="6">
      <pivotArea type="data" outline="0" fieldPosition="0">
        <references count="2">
          <reference field="4294967294" count="1" selected="0">
            <x v="0"/>
          </reference>
          <reference field="4" count="1" selected="0">
            <x v="13"/>
          </reference>
        </references>
      </pivotArea>
    </chartFormat>
    <chartFormat chart="0" format="7">
      <pivotArea type="data" outline="0" fieldPosition="0">
        <references count="2">
          <reference field="4294967294" count="1" selected="0">
            <x v="0"/>
          </reference>
          <reference field="4" count="1" selected="0">
            <x v="22"/>
          </reference>
        </references>
      </pivotArea>
    </chartFormat>
    <chartFormat chart="0" format="8">
      <pivotArea type="data" outline="0" fieldPosition="0">
        <references count="2">
          <reference field="4294967294" count="1" selected="0">
            <x v="0"/>
          </reference>
          <reference field="4" count="1" selected="0">
            <x v="17"/>
          </reference>
        </references>
      </pivotArea>
    </chartFormat>
    <chartFormat chart="0" format="9">
      <pivotArea type="data" outline="0" fieldPosition="0">
        <references count="2">
          <reference field="4294967294" count="1" selected="0">
            <x v="0"/>
          </reference>
          <reference field="4" count="1" selected="0">
            <x v="23"/>
          </reference>
        </references>
      </pivotArea>
    </chartFormat>
    <chartFormat chart="0" format="10">
      <pivotArea type="data" outline="0" fieldPosition="0">
        <references count="2">
          <reference field="4294967294" count="1" selected="0">
            <x v="0"/>
          </reference>
          <reference field="4" count="1" selected="0">
            <x v="12"/>
          </reference>
        </references>
      </pivotArea>
    </chartFormat>
    <chartFormat chart="3" format="22" series="1">
      <pivotArea type="data" outline="0" fieldPosition="0">
        <references count="1">
          <reference field="4294967294" count="1" selected="0">
            <x v="0"/>
          </reference>
        </references>
      </pivotArea>
    </chartFormat>
    <chartFormat chart="3" format="23">
      <pivotArea type="data" outline="0" fieldPosition="0">
        <references count="2">
          <reference field="4294967294" count="1" selected="0">
            <x v="0"/>
          </reference>
          <reference field="4" count="1" selected="0">
            <x v="12"/>
          </reference>
        </references>
      </pivotArea>
    </chartFormat>
    <chartFormat chart="3" format="24">
      <pivotArea type="data" outline="0" fieldPosition="0">
        <references count="2">
          <reference field="4294967294" count="1" selected="0">
            <x v="0"/>
          </reference>
          <reference field="4" count="1" selected="0">
            <x v="23"/>
          </reference>
        </references>
      </pivotArea>
    </chartFormat>
    <chartFormat chart="3" format="25">
      <pivotArea type="data" outline="0" fieldPosition="0">
        <references count="2">
          <reference field="4294967294" count="1" selected="0">
            <x v="0"/>
          </reference>
          <reference field="4" count="1" selected="0">
            <x v="17"/>
          </reference>
        </references>
      </pivotArea>
    </chartFormat>
    <chartFormat chart="3" format="26">
      <pivotArea type="data" outline="0" fieldPosition="0">
        <references count="2">
          <reference field="4294967294" count="1" selected="0">
            <x v="0"/>
          </reference>
          <reference field="4" count="1" selected="0">
            <x v="22"/>
          </reference>
        </references>
      </pivotArea>
    </chartFormat>
    <chartFormat chart="3" format="27">
      <pivotArea type="data" outline="0" fieldPosition="0">
        <references count="2">
          <reference field="4294967294" count="1" selected="0">
            <x v="0"/>
          </reference>
          <reference field="4" count="1" selected="0">
            <x v="13"/>
          </reference>
        </references>
      </pivotArea>
    </chartFormat>
    <chartFormat chart="3" format="28">
      <pivotArea type="data" outline="0" fieldPosition="0">
        <references count="2">
          <reference field="4294967294" count="1" selected="0">
            <x v="0"/>
          </reference>
          <reference field="4" count="1" selected="0">
            <x v="27"/>
          </reference>
        </references>
      </pivotArea>
    </chartFormat>
    <chartFormat chart="3" format="29">
      <pivotArea type="data" outline="0" fieldPosition="0">
        <references count="2">
          <reference field="4294967294" count="1" selected="0">
            <x v="0"/>
          </reference>
          <reference field="4" count="1" selected="0">
            <x v="4"/>
          </reference>
        </references>
      </pivotArea>
    </chartFormat>
    <chartFormat chart="3" format="30">
      <pivotArea type="data" outline="0" fieldPosition="0">
        <references count="2">
          <reference field="4294967294" count="1" selected="0">
            <x v="0"/>
          </reference>
          <reference field="4" count="1" selected="0">
            <x v="6"/>
          </reference>
        </references>
      </pivotArea>
    </chartFormat>
    <chartFormat chart="3" format="31">
      <pivotArea type="data" outline="0" fieldPosition="0">
        <references count="2">
          <reference field="4294967294" count="1" selected="0">
            <x v="0"/>
          </reference>
          <reference field="4" count="1" selected="0">
            <x v="2"/>
          </reference>
        </references>
      </pivotArea>
    </chartFormat>
    <chartFormat chart="3" format="3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FB872FF-79AD-42BC-8AC1-7F7EA8A75106}" name="Most_Teachers_Covered"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A3:B10" firstHeaderRow="1" firstDataRow="1" firstDataCol="1" rowPageCount="1" colPageCount="1"/>
  <pivotFields count="16">
    <pivotField showAll="0">
      <items count="8">
        <item x="0"/>
        <item x="1"/>
        <item x="2"/>
        <item x="3"/>
        <item x="4"/>
        <item x="5"/>
        <item x="6"/>
        <item t="default"/>
      </items>
    </pivotField>
    <pivotField numFmtId="14" showAll="0">
      <items count="116">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pivotField>
    <pivotField showAll="0"/>
    <pivotField axis="axisRow" dataField="1" showAll="0" sortType="descending">
      <items count="133">
        <item x="123"/>
        <item x="0"/>
        <item x="29"/>
        <item x="96"/>
        <item x="115"/>
        <item x="106"/>
        <item x="75"/>
        <item x="62"/>
        <item x="63"/>
        <item x="7"/>
        <item x="47"/>
        <item x="55"/>
        <item x="82"/>
        <item x="58"/>
        <item x="89"/>
        <item x="64"/>
        <item x="30"/>
        <item x="5"/>
        <item x="114"/>
        <item x="6"/>
        <item x="46"/>
        <item x="72"/>
        <item x="90"/>
        <item x="110"/>
        <item x="10"/>
        <item x="45"/>
        <item x="120"/>
        <item x="24"/>
        <item x="113"/>
        <item x="59"/>
        <item x="109"/>
        <item x="52"/>
        <item x="42"/>
        <item x="68"/>
        <item x="99"/>
        <item x="129"/>
        <item x="50"/>
        <item x="38"/>
        <item x="105"/>
        <item x="22"/>
        <item x="98"/>
        <item x="41"/>
        <item x="51"/>
        <item x="93"/>
        <item x="83"/>
        <item x="54"/>
        <item x="103"/>
        <item x="25"/>
        <item x="17"/>
        <item x="2"/>
        <item x="61"/>
        <item x="76"/>
        <item x="43"/>
        <item x="95"/>
        <item x="56"/>
        <item x="127"/>
        <item x="37"/>
        <item x="69"/>
        <item x="94"/>
        <item x="74"/>
        <item x="122"/>
        <item x="85"/>
        <item x="13"/>
        <item x="71"/>
        <item x="84"/>
        <item x="33"/>
        <item x="31"/>
        <item x="67"/>
        <item x="124"/>
        <item x="34"/>
        <item x="92"/>
        <item x="60"/>
        <item x="108"/>
        <item x="131"/>
        <item x="16"/>
        <item x="15"/>
        <item x="97"/>
        <item x="91"/>
        <item x="78"/>
        <item x="48"/>
        <item x="87"/>
        <item x="121"/>
        <item x="88"/>
        <item x="4"/>
        <item x="11"/>
        <item x="28"/>
        <item x="111"/>
        <item x="27"/>
        <item x="12"/>
        <item x="65"/>
        <item x="8"/>
        <item x="39"/>
        <item x="102"/>
        <item x="112"/>
        <item x="79"/>
        <item x="9"/>
        <item x="101"/>
        <item x="14"/>
        <item x="57"/>
        <item x="73"/>
        <item x="40"/>
        <item x="53"/>
        <item x="1"/>
        <item x="49"/>
        <item x="125"/>
        <item x="100"/>
        <item x="21"/>
        <item x="32"/>
        <item x="81"/>
        <item x="18"/>
        <item x="19"/>
        <item x="36"/>
        <item x="70"/>
        <item x="23"/>
        <item x="104"/>
        <item x="77"/>
        <item x="66"/>
        <item x="20"/>
        <item x="126"/>
        <item x="35"/>
        <item x="128"/>
        <item x="116"/>
        <item x="44"/>
        <item x="117"/>
        <item x="3"/>
        <item x="80"/>
        <item x="107"/>
        <item x="119"/>
        <item x="26"/>
        <item x="130"/>
        <item x="86"/>
        <item x="11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axis="axisPage" multipleItemSelectionAllowed="1" showAll="0">
      <items count="21">
        <item x="1"/>
        <item x="19"/>
        <item x="18"/>
        <item x="14"/>
        <item x="9"/>
        <item x="11"/>
        <item h="1" x="7"/>
        <item h="1" x="12"/>
        <item h="1" x="15"/>
        <item h="1" x="10"/>
        <item h="1" x="2"/>
        <item h="1" x="13"/>
        <item h="1" x="3"/>
        <item h="1" x="8"/>
        <item h="1" x="6"/>
        <item h="1" x="0"/>
        <item h="1" x="16"/>
        <item h="1" x="17"/>
        <item h="1" x="4"/>
        <item h="1" x="5"/>
        <item t="default"/>
      </items>
    </pivotField>
    <pivotField dragToRow="0" dragToCol="0" dragToPage="0" showAll="0" defaultSubtota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3"/>
  </rowFields>
  <rowItems count="7">
    <i>
      <x v="102"/>
    </i>
    <i>
      <x v="57"/>
    </i>
    <i>
      <x v="36"/>
    </i>
    <i>
      <x v="69"/>
    </i>
    <i>
      <x v="84"/>
    </i>
    <i>
      <x v="39"/>
    </i>
    <i t="grand">
      <x/>
    </i>
  </rowItems>
  <colItems count="1">
    <i/>
  </colItems>
  <pageFields count="1">
    <pageField fld="11" hier="-1"/>
  </pageFields>
  <dataFields count="1">
    <dataField name="Count of Teacher" fld="3" subtotal="count"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C3D05C9-8B26-406B-A856-2C2836D5B162}" name="Class_Coverage_Tre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1" firstHeaderRow="1" firstDataRow="1" firstDataCol="1"/>
  <pivotFields count="16">
    <pivotField axis="axisRow" showAll="0">
      <items count="8">
        <item x="0"/>
        <item x="1"/>
        <item x="2"/>
        <item x="3"/>
        <item x="4"/>
        <item x="5"/>
        <item x="6"/>
        <item t="default"/>
      </items>
    </pivotField>
    <pivotField dataField="1" numFmtId="14" showAll="0">
      <items count="116">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pivotField>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0"/>
  </rowFields>
  <rowItems count="8">
    <i>
      <x/>
    </i>
    <i>
      <x v="1"/>
    </i>
    <i>
      <x v="2"/>
    </i>
    <i>
      <x v="3"/>
    </i>
    <i>
      <x v="4"/>
    </i>
    <i>
      <x v="5"/>
    </i>
    <i>
      <x v="6"/>
    </i>
    <i t="grand">
      <x/>
    </i>
  </rowItems>
  <colItems count="1">
    <i/>
  </colItems>
  <dataFields count="1">
    <dataField name="Count of Date"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082737C-DD1C-4FA1-B0CB-B4CBA38BE793}" name="Class_Coverage_by_Da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9" firstHeaderRow="1" firstDataRow="1" firstDataCol="1"/>
  <pivotFields count="16">
    <pivotField showAll="0">
      <items count="8">
        <item x="0"/>
        <item x="1"/>
        <item x="2"/>
        <item x="3"/>
        <item x="4"/>
        <item x="5"/>
        <item x="6"/>
        <item t="default"/>
      </items>
    </pivotField>
    <pivotField numFmtId="14" showAll="0">
      <items count="116">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pivotField>
    <pivotField axis="axisRow" showAll="0">
      <items count="6">
        <item x="4"/>
        <item x="0"/>
        <item x="1"/>
        <item x="2"/>
        <item x="3"/>
        <item t="default"/>
      </items>
    </pivotField>
    <pivotField showAll="0"/>
    <pivotField dataField="1" showAll="0"/>
    <pivotField showAll="0"/>
    <pivotField showAll="0"/>
    <pivotField showAll="0"/>
    <pivotField showAll="0"/>
    <pivotField showAll="0"/>
    <pivotField showAll="0"/>
    <pivotField showAll="0"/>
    <pivotField dragToRow="0" dragToCol="0" dragToPage="0" showAll="0" defaultSubtota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2"/>
  </rowFields>
  <rowItems count="6">
    <i>
      <x/>
    </i>
    <i>
      <x v="1"/>
    </i>
    <i>
      <x v="2"/>
    </i>
    <i>
      <x v="3"/>
    </i>
    <i>
      <x v="4"/>
    </i>
    <i t="grand">
      <x/>
    </i>
  </rowItems>
  <colItems count="1">
    <i/>
  </colItems>
  <dataFields count="1">
    <dataField name="Count of Substitute" fld="4"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6BCB784-7DA7-46A9-AE64-8DD83F83EE60}" name="Bussiest da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19" firstHeaderRow="0" firstDataRow="1" firstDataCol="1"/>
  <pivotFields count="16">
    <pivotField showAll="0">
      <items count="8">
        <item x="0"/>
        <item x="1"/>
        <item x="2"/>
        <item x="3"/>
        <item x="4"/>
        <item x="5"/>
        <item x="6"/>
        <item t="default"/>
      </items>
    </pivotField>
    <pivotField numFmtId="14" showAll="0">
      <items count="116">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pivotField>
    <pivotField showAll="0"/>
    <pivotField showAll="0"/>
    <pivotField dataField="1" showAll="0"/>
    <pivotField showAll="0"/>
    <pivotField showAll="0"/>
    <pivotField showAll="0"/>
    <pivotField dataField="1" showAll="0"/>
    <pivotField showAll="0"/>
    <pivotField showAll="0"/>
    <pivotField showAll="0"/>
    <pivotField dragToRow="0" dragToCol="0" dragToPage="0" showAll="0" defaultSubtotal="0"/>
    <pivotField axis="axisRow" showAll="0" sortType="descending"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autoSortScope>
        <pivotArea dataOnly="0" outline="0" fieldPosition="0">
          <references count="1">
            <reference field="4294967294" count="1" selected="0">
              <x v="0"/>
            </reference>
          </references>
        </pivotArea>
      </autoSortScope>
    </pivotField>
    <pivotField showAll="0" defaultSubtotal="0">
      <items count="14">
        <item sd="0" x="0"/>
        <item sd="0" x="1"/>
        <item sd="0" x="2"/>
        <item sd="0" x="3"/>
        <item sd="0" x="4"/>
        <item sd="0" x="5"/>
        <item sd="0" x="6"/>
        <item sd="0" x="7"/>
        <item sd="0" x="8"/>
        <item sd="0" x="9"/>
        <item sd="0" x="10"/>
        <item sd="0" x="11"/>
        <item sd="0" x="12"/>
        <item sd="0" x="13"/>
      </items>
    </pivotField>
    <pivotField dragToRow="0" dragToCol="0" dragToPage="0" showAll="0" defaultSubtotal="0"/>
  </pivotFields>
  <rowFields count="1">
    <field x="13"/>
  </rowFields>
  <rowItems count="116">
    <i>
      <x v="347"/>
    </i>
    <i>
      <x v="326"/>
    </i>
    <i>
      <x v="16"/>
    </i>
    <i>
      <x v="309"/>
    </i>
    <i>
      <x v="246"/>
    </i>
    <i>
      <x v="34"/>
    </i>
    <i>
      <x v="235"/>
    </i>
    <i>
      <x v="47"/>
    </i>
    <i>
      <x v="58"/>
    </i>
    <i>
      <x v="319"/>
    </i>
    <i>
      <x v="322"/>
    </i>
    <i>
      <x v="48"/>
    </i>
    <i>
      <x v="239"/>
    </i>
    <i>
      <x v="249"/>
    </i>
    <i>
      <x v="13"/>
    </i>
    <i>
      <x v="267"/>
    </i>
    <i>
      <x v="308"/>
    </i>
    <i>
      <x v="346"/>
    </i>
    <i>
      <x v="336"/>
    </i>
    <i>
      <x v="253"/>
    </i>
    <i>
      <x v="343"/>
    </i>
    <i>
      <x v="12"/>
    </i>
    <i>
      <x v="298"/>
    </i>
    <i>
      <x v="280"/>
    </i>
    <i>
      <x v="315"/>
    </i>
    <i>
      <x v="44"/>
    </i>
    <i>
      <x v="37"/>
    </i>
    <i>
      <x v="54"/>
    </i>
    <i>
      <x v="297"/>
    </i>
    <i>
      <x v="55"/>
    </i>
    <i>
      <x v="312"/>
    </i>
    <i>
      <x v="231"/>
    </i>
    <i>
      <x v="36"/>
    </i>
    <i>
      <x v="238"/>
    </i>
    <i>
      <x v="340"/>
    </i>
    <i>
      <x v="41"/>
    </i>
    <i>
      <x v="274"/>
    </i>
    <i>
      <x v="266"/>
    </i>
    <i>
      <x v="228"/>
    </i>
    <i>
      <x v="256"/>
    </i>
    <i>
      <x v="43"/>
    </i>
    <i>
      <x v="221"/>
    </i>
    <i>
      <x v="259"/>
    </i>
    <i>
      <x v="275"/>
    </i>
    <i>
      <x v="51"/>
    </i>
    <i>
      <x v="303"/>
    </i>
    <i>
      <x v="323"/>
    </i>
    <i>
      <x v="40"/>
    </i>
    <i>
      <x v="242"/>
    </i>
    <i>
      <x v="344"/>
    </i>
    <i>
      <x v="218"/>
    </i>
    <i>
      <x v="294"/>
    </i>
    <i>
      <x v="277"/>
    </i>
    <i>
      <x v="9"/>
    </i>
    <i>
      <x v="310"/>
    </i>
    <i>
      <x v="270"/>
    </i>
    <i>
      <x v="20"/>
    </i>
    <i>
      <x v="6"/>
    </i>
    <i>
      <x v="345"/>
    </i>
    <i>
      <x v="318"/>
    </i>
    <i>
      <x v="14"/>
    </i>
    <i>
      <x v="227"/>
    </i>
    <i>
      <x v="273"/>
    </i>
    <i>
      <x v="262"/>
    </i>
    <i>
      <x v="263"/>
    </i>
    <i>
      <x v="268"/>
    </i>
    <i>
      <x v="301"/>
    </i>
    <i>
      <x v="225"/>
    </i>
    <i>
      <x v="325"/>
    </i>
    <i>
      <x v="57"/>
    </i>
    <i>
      <x v="317"/>
    </i>
    <i>
      <x v="304"/>
    </i>
    <i>
      <x v="302"/>
    </i>
    <i>
      <x v="23"/>
    </i>
    <i>
      <x v="7"/>
    </i>
    <i>
      <x v="8"/>
    </i>
    <i>
      <x v="233"/>
    </i>
    <i>
      <x v="35"/>
    </i>
    <i>
      <x v="219"/>
    </i>
    <i>
      <x v="42"/>
    </i>
    <i>
      <x v="254"/>
    </i>
    <i>
      <x v="226"/>
    </i>
    <i>
      <x v="15"/>
    </i>
    <i>
      <x v="276"/>
    </i>
    <i>
      <x v="311"/>
    </i>
    <i>
      <x v="56"/>
    </i>
    <i>
      <x v="252"/>
    </i>
    <i>
      <x v="49"/>
    </i>
    <i>
      <x v="260"/>
    </i>
    <i>
      <x v="22"/>
    </i>
    <i>
      <x v="296"/>
    </i>
    <i>
      <x v="50"/>
    </i>
    <i>
      <x v="247"/>
    </i>
    <i>
      <x v="240"/>
    </i>
    <i>
      <x v="324"/>
    </i>
    <i>
      <x v="248"/>
    </i>
    <i>
      <x v="339"/>
    </i>
    <i>
      <x v="220"/>
    </i>
    <i>
      <x v="255"/>
    </i>
    <i>
      <x v="241"/>
    </i>
    <i>
      <x v="269"/>
    </i>
    <i>
      <x v="234"/>
    </i>
    <i>
      <x v="295"/>
    </i>
    <i>
      <x v="282"/>
    </i>
    <i>
      <x v="350"/>
    </i>
    <i>
      <x v="21"/>
    </i>
    <i>
      <x v="283"/>
    </i>
    <i>
      <x v="232"/>
    </i>
    <i>
      <x v="338"/>
    </i>
    <i>
      <x v="261"/>
    </i>
    <i>
      <x v="224"/>
    </i>
    <i>
      <x v="30"/>
    </i>
    <i>
      <x v="354"/>
    </i>
    <i>
      <x v="351"/>
    </i>
    <i>
      <x v="353"/>
    </i>
    <i t="grand">
      <x/>
    </i>
  </rowItems>
  <colFields count="1">
    <field x="-2"/>
  </colFields>
  <colItems count="2">
    <i>
      <x/>
    </i>
    <i i="1">
      <x v="1"/>
    </i>
  </colItems>
  <dataFields count="2">
    <dataField name="Sum of Periods Covered" fld="8" baseField="0" baseItem="0"/>
    <dataField name="Count of Substitute"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75F8AE1-B982-4098-A1F0-D1FEC5E29C2A}" name="Peak_Clas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J119" firstHeaderRow="1" firstDataRow="1" firstDataCol="1"/>
  <pivotFields count="16">
    <pivotField showAll="0">
      <items count="8">
        <item x="0"/>
        <item x="1"/>
        <item x="2"/>
        <item x="3"/>
        <item x="4"/>
        <item x="5"/>
        <item x="6"/>
        <item t="default"/>
      </items>
    </pivotField>
    <pivotField numFmtId="14" showAll="0">
      <items count="116">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pivotField>
    <pivotField showAll="0"/>
    <pivotField showAll="0"/>
    <pivotField dataField="1" showAll="0"/>
    <pivotField showAll="0"/>
    <pivotField showAll="0"/>
    <pivotField showAll="0"/>
    <pivotField showAll="0"/>
    <pivotField showAll="0"/>
    <pivotField showAll="0"/>
    <pivotField showAll="0"/>
    <pivotField dragToRow="0" dragToCol="0" dragToPage="0" showAll="0" defaultSubtotal="0"/>
    <pivotField axis="axisRow" showAll="0" sortType="descending"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autoSortScope>
        <pivotArea dataOnly="0" outline="0" fieldPosition="0">
          <references count="1">
            <reference field="4294967294" count="1" selected="0">
              <x v="0"/>
            </reference>
          </references>
        </pivotArea>
      </autoSortScope>
    </pivotField>
    <pivotField showAll="0" defaultSubtotal="0">
      <items count="14">
        <item sd="0" x="0"/>
        <item sd="0" x="1"/>
        <item sd="0" x="2"/>
        <item sd="0" x="3"/>
        <item sd="0" x="4"/>
        <item sd="0" x="5"/>
        <item sd="0" x="6"/>
        <item sd="0" x="7"/>
        <item sd="0" x="8"/>
        <item sd="0" x="9"/>
        <item sd="0" x="10"/>
        <item sd="0" x="11"/>
        <item sd="0" x="12"/>
        <item sd="0" x="13"/>
      </items>
    </pivotField>
    <pivotField dragToRow="0" dragToCol="0" dragToPage="0" showAll="0" defaultSubtotal="0"/>
  </pivotFields>
  <rowFields count="1">
    <field x="13"/>
  </rowFields>
  <rowItems count="116">
    <i>
      <x v="346"/>
    </i>
    <i>
      <x v="275"/>
    </i>
    <i>
      <x v="347"/>
    </i>
    <i>
      <x v="16"/>
    </i>
    <i>
      <x v="326"/>
    </i>
    <i>
      <x v="43"/>
    </i>
    <i>
      <x v="309"/>
    </i>
    <i>
      <x v="297"/>
    </i>
    <i>
      <x v="34"/>
    </i>
    <i>
      <x v="36"/>
    </i>
    <i>
      <x v="47"/>
    </i>
    <i>
      <x v="246"/>
    </i>
    <i>
      <x v="319"/>
    </i>
    <i>
      <x v="308"/>
    </i>
    <i>
      <x v="219"/>
    </i>
    <i>
      <x v="235"/>
    </i>
    <i>
      <x v="310"/>
    </i>
    <i>
      <x v="239"/>
    </i>
    <i>
      <x v="325"/>
    </i>
    <i>
      <x v="14"/>
    </i>
    <i>
      <x v="303"/>
    </i>
    <i>
      <x v="249"/>
    </i>
    <i>
      <x v="48"/>
    </i>
    <i>
      <x v="262"/>
    </i>
    <i>
      <x v="318"/>
    </i>
    <i>
      <x v="267"/>
    </i>
    <i>
      <x v="322"/>
    </i>
    <i>
      <x v="268"/>
    </i>
    <i>
      <x v="58"/>
    </i>
    <i>
      <x v="12"/>
    </i>
    <i>
      <x v="227"/>
    </i>
    <i>
      <x v="13"/>
    </i>
    <i>
      <x v="253"/>
    </i>
    <i>
      <x v="343"/>
    </i>
    <i>
      <x v="312"/>
    </i>
    <i>
      <x v="304"/>
    </i>
    <i>
      <x v="226"/>
    </i>
    <i>
      <x v="55"/>
    </i>
    <i>
      <x v="228"/>
    </i>
    <i>
      <x v="298"/>
    </i>
    <i>
      <x v="231"/>
    </i>
    <i>
      <x v="49"/>
    </i>
    <i>
      <x v="233"/>
    </i>
    <i>
      <x v="317"/>
    </i>
    <i>
      <x v="238"/>
    </i>
    <i>
      <x v="336"/>
    </i>
    <i>
      <x v="8"/>
    </i>
    <i>
      <x v="57"/>
    </i>
    <i>
      <x v="35"/>
    </i>
    <i>
      <x v="44"/>
    </i>
    <i>
      <x v="254"/>
    </i>
    <i>
      <x v="7"/>
    </i>
    <i>
      <x v="256"/>
    </i>
    <i>
      <x v="311"/>
    </i>
    <i>
      <x v="37"/>
    </i>
    <i>
      <x v="315"/>
    </i>
    <i>
      <x v="266"/>
    </i>
    <i>
      <x v="54"/>
    </i>
    <i>
      <x v="41"/>
    </i>
    <i>
      <x v="56"/>
    </i>
    <i>
      <x v="274"/>
    </i>
    <i>
      <x v="340"/>
    </i>
    <i>
      <x v="276"/>
    </i>
    <i>
      <x v="345"/>
    </i>
    <i>
      <x v="280"/>
    </i>
    <i>
      <x v="15"/>
    </i>
    <i>
      <x v="42"/>
    </i>
    <i>
      <x v="220"/>
    </i>
    <i>
      <x v="339"/>
    </i>
    <i>
      <x v="323"/>
    </i>
    <i>
      <x v="270"/>
    </i>
    <i>
      <x v="9"/>
    </i>
    <i>
      <x v="218"/>
    </i>
    <i>
      <x v="51"/>
    </i>
    <i>
      <x v="277"/>
    </i>
    <i>
      <x v="221"/>
    </i>
    <i>
      <x v="22"/>
    </i>
    <i>
      <x v="40"/>
    </i>
    <i>
      <x v="294"/>
    </i>
    <i>
      <x v="6"/>
    </i>
    <i>
      <x v="295"/>
    </i>
    <i>
      <x v="50"/>
    </i>
    <i>
      <x v="296"/>
    </i>
    <i>
      <x v="255"/>
    </i>
    <i>
      <x v="240"/>
    </i>
    <i>
      <x v="324"/>
    </i>
    <i>
      <x v="242"/>
    </i>
    <i>
      <x v="259"/>
    </i>
    <i>
      <x v="247"/>
    </i>
    <i>
      <x v="344"/>
    </i>
    <i>
      <x v="20"/>
    </i>
    <i>
      <x v="248"/>
    </i>
    <i>
      <x v="21"/>
    </i>
    <i>
      <x v="302"/>
    </i>
    <i>
      <x v="269"/>
    </i>
    <i>
      <x v="225"/>
    </i>
    <i>
      <x v="273"/>
    </i>
    <i>
      <x v="234"/>
    </i>
    <i>
      <x v="282"/>
    </i>
    <i>
      <x v="241"/>
    </i>
    <i>
      <x v="263"/>
    </i>
    <i>
      <x v="301"/>
    </i>
    <i>
      <x v="23"/>
    </i>
    <i>
      <x v="260"/>
    </i>
    <i>
      <x v="283"/>
    </i>
    <i>
      <x v="252"/>
    </i>
    <i>
      <x v="261"/>
    </i>
    <i>
      <x v="338"/>
    </i>
    <i>
      <x v="232"/>
    </i>
    <i>
      <x v="354"/>
    </i>
    <i>
      <x v="350"/>
    </i>
    <i>
      <x v="30"/>
    </i>
    <i>
      <x v="353"/>
    </i>
    <i>
      <x v="224"/>
    </i>
    <i>
      <x v="351"/>
    </i>
    <i t="grand">
      <x/>
    </i>
  </rowItems>
  <colItems count="1">
    <i/>
  </colItems>
  <dataFields count="1">
    <dataField name="Count of Substitute"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E803C38-ACE9-4188-988F-B54C108B054B}" name="Avg Class"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C11" firstHeaderRow="0" firstDataRow="1" firstDataCol="1"/>
  <pivotFields count="16">
    <pivotField showAll="0"/>
    <pivotField numFmtId="14" showAll="0">
      <items count="116">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pivotField>
    <pivotField showAll="0"/>
    <pivotField showAll="0"/>
    <pivotField showAll="0"/>
    <pivotField showAll="0"/>
    <pivotField showAll="0"/>
    <pivotField showAll="0"/>
    <pivotField dataField="1" showAll="0"/>
    <pivotField showAll="0"/>
    <pivotField showAll="0"/>
    <pivotField showAll="0"/>
    <pivotField dragToRow="0" dragToCol="0" dragToPage="0" showAll="0" defaultSubtota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dragToRow="0" dragToCol="0" dragToPage="0" showAll="0" defaultSubtotal="0"/>
  </pivotFields>
  <rowFields count="1">
    <field x="14"/>
  </rowFields>
  <rowItems count="8">
    <i>
      <x v="1"/>
    </i>
    <i>
      <x v="2"/>
    </i>
    <i>
      <x v="8"/>
    </i>
    <i>
      <x v="9"/>
    </i>
    <i>
      <x v="10"/>
    </i>
    <i>
      <x v="11"/>
    </i>
    <i>
      <x v="12"/>
    </i>
    <i t="grand">
      <x/>
    </i>
  </rowItems>
  <colFields count="1">
    <field x="-2"/>
  </colFields>
  <colItems count="2">
    <i>
      <x/>
    </i>
    <i i="1">
      <x v="1"/>
    </i>
  </colItems>
  <dataFields count="2">
    <dataField name="Count of Periods Covered" fld="8" subtotal="count" baseField="12" baseItem="8"/>
    <dataField name="Sum of Periods Covered" fld="8" baseField="12" baseItem="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B23B701-611A-4887-BF25-9D619EFE3698}" autoFormatId="16" applyNumberFormats="0" applyBorderFormats="0" applyFontFormats="0" applyPatternFormats="0" applyAlignmentFormats="0" applyWidthHeightFormats="0">
  <queryTableRefresh nextId="22" unboundColumnsRight="2">
    <queryTableFields count="12">
      <queryTableField id="1" name="Month" tableColumnId="1"/>
      <queryTableField id="16" name="Date" tableColumnId="15"/>
      <queryTableField id="17" name="Day of week.2" tableColumnId="16"/>
      <queryTableField id="3" name="Teacher" tableColumnId="3"/>
      <queryTableField id="4" name="Substitute" tableColumnId="4"/>
      <queryTableField id="5" name="Job #" tableColumnId="5"/>
      <queryTableField id="6" name="Room" tableColumnId="6"/>
      <queryTableField id="7" name="Academy" tableColumnId="7"/>
      <queryTableField id="8" name="Periods Covered" tableColumnId="8"/>
      <queryTableField id="9" name="Periods List" tableColumnId="9"/>
      <queryTableField id="20" dataBound="0" tableColumnId="2"/>
      <queryTableField id="21" dataBound="0"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5743621E-CE92-4D88-89CC-1C8DE700E178}" sourceName="Month">
  <pivotTables>
    <pivotTable tabId="32" name="Classroom_Associate_Workload"/>
    <pivotTable tabId="36" name="Class_Coverage_by_Day"/>
    <pivotTable tabId="35" name="Class_Coverage_Trend"/>
    <pivotTable tabId="12" name="KPI"/>
    <pivotTable tabId="34" name="Most_Teachers_Covered"/>
    <pivotTable tabId="33" name="Outside_Sub_Coverage"/>
    <pivotTable tabId="38" name="Bussiest day"/>
    <pivotTable tabId="38" name="Peak_Class"/>
  </pivotTables>
  <data>
    <tabular pivotCacheId="999024479">
      <items count="7">
        <i x="0" s="1"/>
        <i x="1" s="1"/>
        <i x="2" s="1"/>
        <i x="3" s="1"/>
        <i x="4" s="1"/>
        <i x="5"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31E6A6E1-5847-4081-9324-23858384BA00}" sourceName="Month">
  <extLst>
    <x:ext xmlns:x15="http://schemas.microsoft.com/office/spreadsheetml/2010/11/main" uri="{2F2917AC-EB37-4324-AD4E-5DD8C200BD13}">
      <x15:tableSlicerCache tableId="3"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5BBF76A7-69B0-49E1-9CBB-5DCE10BBDB76}" cache="Slicer_Month1" caption="Month(s)." style="SlicerStyleLight6"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 xr10:uid="{9498E1AE-F376-43C3-A996-A86AF65E4F15}" cache="Slicer_Month1" caption="Month(s)." style="SlicerStyleLight6"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57EBA8A3-1250-4637-A55E-0F52448C8F39}" cache="Slicer_Month" caption="Month" style="SlicerStyleLight3"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55BF08A-A4C0-4B74-BF01-C7A87EF429C6}" name="All_Cleaned_Data" displayName="All_Cleaned_Data" ref="A1:L648" tableType="queryTable" totalsRowShown="0">
  <autoFilter ref="A1:L648" xr:uid="{C55BF08A-A4C0-4B74-BF01-C7A87EF429C6}"/>
  <tableColumns count="12">
    <tableColumn id="1" xr3:uid="{C06219A6-E3B1-4BC3-8B4C-8F27D107A957}" uniqueName="1" name="Month" queryTableFieldId="1" dataDxfId="10"/>
    <tableColumn id="15" xr3:uid="{B0F0727D-1768-4F7F-99FB-84067C88C039}" uniqueName="15" name="Date" queryTableFieldId="16" dataDxfId="9"/>
    <tableColumn id="16" xr3:uid="{D1468EDB-67E3-4969-B209-9FCC1291388E}" uniqueName="16" name="Day of week.2" queryTableFieldId="17" dataDxfId="8"/>
    <tableColumn id="3" xr3:uid="{E1B5CE9A-2EBA-4553-9DD4-1773068A1C9F}" uniqueName="3" name="Teacher" queryTableFieldId="3" dataDxfId="7"/>
    <tableColumn id="4" xr3:uid="{ADB2FBB0-BE28-439E-B52B-F36000182622}" uniqueName="4" name="Substitute" queryTableFieldId="4" dataDxfId="6"/>
    <tableColumn id="5" xr3:uid="{E25E481F-77A0-4E89-9A98-23F586BA81D6}" uniqueName="5" name="Job #" queryTableFieldId="5" dataDxfId="5"/>
    <tableColumn id="6" xr3:uid="{61E6E84B-1048-498D-A20A-8A5C4F61EB28}" uniqueName="6" name="Room" queryTableFieldId="6" dataDxfId="4"/>
    <tableColumn id="7" xr3:uid="{90D3E199-FCF3-448F-8E3F-6D24906BCA36}" uniqueName="7" name="Academy" queryTableFieldId="7" dataDxfId="3"/>
    <tableColumn id="8" xr3:uid="{EEB54EF3-7F57-4A83-A401-6F8CEB75CBD5}" uniqueName="8" name="Periods Covered" queryTableFieldId="8"/>
    <tableColumn id="9" xr3:uid="{08A16CBF-719F-4930-9004-9B2AA68D88A8}" uniqueName="9" name="Periods List" queryTableFieldId="9" dataDxfId="2"/>
    <tableColumn id="2" xr3:uid="{DB19CC8B-4DBF-49BF-87F6-63C7BE873E20}" uniqueName="2" name="Column1" queryTableFieldId="20" dataDxfId="1">
      <calculatedColumnFormula>COUNTIF($D$2:$D$700,D2)</calculatedColumnFormula>
    </tableColumn>
    <tableColumn id="10" xr3:uid="{9E7C7FC3-3128-4FEF-9900-90A4F5E55F0F}" uniqueName="10" name="Column2" queryTableFieldId="21" dataDxfId="0">
      <calculatedColumnFormula array="1">IFERROR(SUMPRODUCT((COUNTIF($D$2:$D$648,$D$2:$D$648)&gt;COUNTIF($D$2:$D$648,D2))/COUNTIF($D$2:$D$648,$D$2:$D$648))+1,"")</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1.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046A8-EA62-4813-9F3C-F3261DBE58A6}">
  <sheetPr codeName="Sheet1"/>
  <dimension ref="A1:X36"/>
  <sheetViews>
    <sheetView tabSelected="1" zoomScaleNormal="100" workbookViewId="0">
      <selection activeCell="C25" sqref="C25"/>
    </sheetView>
  </sheetViews>
  <sheetFormatPr defaultRowHeight="14.4" x14ac:dyDescent="0.3"/>
  <sheetData>
    <row r="1" spans="1:24" ht="14.4" customHeight="1" x14ac:dyDescent="0.3">
      <c r="A1" s="17" t="s">
        <v>818</v>
      </c>
      <c r="B1" s="17"/>
      <c r="C1" s="17"/>
      <c r="D1" s="17"/>
      <c r="E1" s="17"/>
      <c r="F1" s="17"/>
      <c r="G1" s="17"/>
      <c r="H1" s="17"/>
      <c r="I1" s="17"/>
      <c r="J1" s="17"/>
      <c r="K1" s="17"/>
      <c r="L1" s="17"/>
      <c r="M1" s="17"/>
      <c r="N1" s="17"/>
      <c r="O1" s="17"/>
      <c r="P1" s="17"/>
      <c r="Q1" s="17"/>
      <c r="R1" s="17"/>
      <c r="S1" s="17"/>
      <c r="T1" s="17"/>
      <c r="U1" s="17"/>
      <c r="V1" s="17"/>
      <c r="W1" s="17"/>
      <c r="X1" s="17"/>
    </row>
    <row r="2" spans="1:24" ht="14.4" customHeight="1" x14ac:dyDescent="0.3">
      <c r="A2" s="17"/>
      <c r="B2" s="17"/>
      <c r="C2" s="17"/>
      <c r="D2" s="17"/>
      <c r="E2" s="17"/>
      <c r="F2" s="17"/>
      <c r="G2" s="17"/>
      <c r="H2" s="17"/>
      <c r="I2" s="17"/>
      <c r="J2" s="17"/>
      <c r="K2" s="17"/>
      <c r="L2" s="17"/>
      <c r="M2" s="17"/>
      <c r="N2" s="17"/>
      <c r="O2" s="17"/>
      <c r="P2" s="17"/>
      <c r="Q2" s="17"/>
      <c r="R2" s="17"/>
      <c r="S2" s="17"/>
      <c r="T2" s="17"/>
      <c r="U2" s="17"/>
      <c r="V2" s="17"/>
      <c r="W2" s="17"/>
      <c r="X2" s="17"/>
    </row>
    <row r="3" spans="1:24" ht="14.4" customHeight="1" x14ac:dyDescent="0.3">
      <c r="A3" s="12"/>
      <c r="B3" s="12"/>
      <c r="C3" s="12"/>
      <c r="D3" s="12"/>
      <c r="E3" s="12"/>
      <c r="F3" s="12"/>
      <c r="G3" s="12"/>
      <c r="H3" s="12"/>
      <c r="I3" s="12"/>
      <c r="J3" s="12"/>
      <c r="K3" s="12"/>
      <c r="L3" s="12"/>
      <c r="M3" s="12"/>
      <c r="N3" s="12"/>
      <c r="O3" s="12"/>
      <c r="P3" s="12"/>
      <c r="Q3" s="12"/>
      <c r="R3" s="12"/>
      <c r="S3" s="12"/>
      <c r="T3" s="12"/>
      <c r="U3" s="12"/>
      <c r="V3" s="12"/>
      <c r="W3" s="12"/>
      <c r="X3" s="12"/>
    </row>
    <row r="4" spans="1:24" x14ac:dyDescent="0.3">
      <c r="A4" s="9"/>
      <c r="B4" s="9"/>
      <c r="C4" s="9"/>
      <c r="D4" s="9"/>
      <c r="E4" s="9"/>
      <c r="F4" s="9"/>
      <c r="G4" s="9"/>
      <c r="H4" s="9"/>
      <c r="I4" s="9"/>
      <c r="J4" s="9"/>
      <c r="K4" s="9"/>
      <c r="L4" s="9"/>
      <c r="M4" s="9"/>
      <c r="N4" s="9"/>
      <c r="O4" s="9"/>
      <c r="P4" s="9"/>
      <c r="Q4" s="9"/>
      <c r="R4" s="9"/>
      <c r="S4" s="9"/>
      <c r="T4" s="9"/>
      <c r="U4" s="9"/>
      <c r="V4" s="9"/>
      <c r="W4" s="9"/>
      <c r="X4" s="9"/>
    </row>
    <row r="5" spans="1:24" x14ac:dyDescent="0.3">
      <c r="A5" s="9"/>
      <c r="B5" s="9"/>
      <c r="C5" s="9"/>
      <c r="D5" s="9"/>
      <c r="E5" s="9"/>
      <c r="F5" s="9"/>
      <c r="G5" s="9"/>
      <c r="H5" s="9"/>
      <c r="I5" s="9"/>
      <c r="J5" s="9"/>
      <c r="K5" s="9"/>
      <c r="L5" s="9"/>
      <c r="M5" s="9"/>
      <c r="N5" s="9"/>
      <c r="O5" s="9"/>
      <c r="P5" s="9"/>
      <c r="Q5" s="9"/>
      <c r="R5" s="9"/>
      <c r="S5" s="9"/>
      <c r="T5" s="9"/>
      <c r="U5" s="9"/>
      <c r="V5" s="9"/>
      <c r="W5" s="9"/>
      <c r="X5" s="9"/>
    </row>
    <row r="6" spans="1:24" x14ac:dyDescent="0.3">
      <c r="A6" s="9"/>
      <c r="B6" s="9"/>
      <c r="C6" s="9"/>
      <c r="D6" s="9"/>
      <c r="E6" s="9"/>
      <c r="F6" s="9"/>
      <c r="G6" s="9"/>
      <c r="H6" s="9"/>
      <c r="I6" s="9"/>
      <c r="J6" s="9"/>
      <c r="K6" s="9"/>
      <c r="L6" s="9"/>
      <c r="M6" s="9"/>
      <c r="N6" s="9"/>
      <c r="O6" s="9"/>
      <c r="P6" s="9"/>
      <c r="Q6" s="9"/>
      <c r="R6" s="9"/>
      <c r="S6" s="9"/>
      <c r="T6" s="9"/>
      <c r="U6" s="9"/>
      <c r="V6" s="9"/>
      <c r="W6" s="9"/>
      <c r="X6" s="9"/>
    </row>
    <row r="7" spans="1:24" x14ac:dyDescent="0.3">
      <c r="A7" s="9"/>
      <c r="B7" s="9"/>
      <c r="C7" s="9"/>
      <c r="D7" s="9"/>
      <c r="E7" s="9"/>
      <c r="F7" s="9"/>
      <c r="G7" s="9"/>
      <c r="H7" s="9"/>
      <c r="I7" s="9"/>
      <c r="J7" s="9"/>
      <c r="K7" s="9"/>
      <c r="L7" s="9"/>
      <c r="M7" s="9"/>
      <c r="N7" s="9"/>
      <c r="O7" s="9"/>
      <c r="P7" s="9"/>
      <c r="Q7" s="9"/>
      <c r="R7" s="9"/>
      <c r="S7" s="9"/>
      <c r="T7" s="9"/>
      <c r="U7" s="9"/>
      <c r="V7" s="9"/>
      <c r="W7" s="9"/>
      <c r="X7" s="9"/>
    </row>
    <row r="8" spans="1:24" x14ac:dyDescent="0.3">
      <c r="A8" s="9"/>
      <c r="B8" s="9"/>
      <c r="C8" s="9"/>
      <c r="D8" s="9"/>
      <c r="E8" s="9"/>
      <c r="F8" s="9"/>
      <c r="G8" s="9"/>
      <c r="H8" s="9"/>
      <c r="I8" s="9"/>
      <c r="J8" s="9"/>
      <c r="K8" s="9"/>
      <c r="L8" s="9"/>
      <c r="M8" s="9"/>
      <c r="N8" s="9"/>
      <c r="O8" s="9"/>
      <c r="P8" s="9"/>
      <c r="Q8" s="9"/>
      <c r="R8" s="9"/>
      <c r="S8" s="9"/>
      <c r="T8" s="9"/>
      <c r="U8" s="9"/>
      <c r="V8" s="9"/>
      <c r="W8" s="9"/>
      <c r="X8" s="9"/>
    </row>
    <row r="9" spans="1:24" x14ac:dyDescent="0.3">
      <c r="A9" s="9"/>
      <c r="B9" s="9"/>
      <c r="C9" s="9"/>
      <c r="D9" s="9"/>
      <c r="E9" s="9"/>
      <c r="F9" s="9"/>
      <c r="G9" s="9"/>
      <c r="H9" s="9"/>
      <c r="I9" s="9"/>
      <c r="J9" s="9"/>
      <c r="K9" s="9"/>
      <c r="L9" s="9"/>
      <c r="M9" s="9"/>
      <c r="N9" s="9"/>
      <c r="O9" s="9"/>
      <c r="P9" s="9"/>
      <c r="Q9" s="9"/>
      <c r="R9" s="9"/>
      <c r="S9" s="9"/>
      <c r="T9" s="9"/>
      <c r="U9" s="9"/>
      <c r="V9" s="9"/>
      <c r="W9" s="9"/>
      <c r="X9" s="9"/>
    </row>
    <row r="10" spans="1:24" x14ac:dyDescent="0.3">
      <c r="A10" s="9"/>
      <c r="B10" s="9"/>
      <c r="C10" s="9"/>
      <c r="D10" s="9"/>
      <c r="E10" s="9"/>
      <c r="F10" s="9"/>
      <c r="G10" s="9"/>
      <c r="H10" s="9"/>
      <c r="I10" s="9"/>
      <c r="J10" s="9"/>
      <c r="K10" s="9"/>
      <c r="L10" s="9"/>
      <c r="M10" s="9"/>
      <c r="N10" s="9"/>
      <c r="O10" s="9"/>
      <c r="P10" s="9"/>
      <c r="Q10" s="9"/>
      <c r="R10" s="9"/>
      <c r="S10" s="9"/>
      <c r="T10" s="9"/>
      <c r="U10" s="9"/>
      <c r="V10" s="9"/>
      <c r="W10" s="9"/>
      <c r="X10" s="9"/>
    </row>
    <row r="11" spans="1:24" x14ac:dyDescent="0.3">
      <c r="A11" s="9"/>
      <c r="B11" s="9"/>
      <c r="C11" s="9"/>
      <c r="D11" s="9"/>
      <c r="E11" s="9"/>
      <c r="F11" s="9"/>
      <c r="G11" s="9"/>
      <c r="H11" s="9"/>
      <c r="I11" s="9"/>
      <c r="J11" s="9"/>
      <c r="K11" s="9"/>
      <c r="L11" s="9"/>
      <c r="M11" s="9"/>
      <c r="N11" s="9"/>
      <c r="O11" s="9"/>
      <c r="P11" s="9"/>
      <c r="Q11" s="9"/>
      <c r="R11" s="9"/>
      <c r="S11" s="9"/>
      <c r="T11" s="9"/>
      <c r="U11" s="9"/>
      <c r="V11" s="9"/>
      <c r="W11" s="9"/>
      <c r="X11" s="9"/>
    </row>
    <row r="12" spans="1:24" x14ac:dyDescent="0.3">
      <c r="A12" s="9"/>
      <c r="B12" s="9"/>
      <c r="C12" s="9"/>
      <c r="D12" s="9"/>
      <c r="E12" s="9"/>
      <c r="F12" s="9"/>
      <c r="G12" s="9"/>
      <c r="H12" s="9"/>
      <c r="I12" s="9"/>
      <c r="J12" s="9"/>
      <c r="K12" s="9"/>
      <c r="L12" s="9"/>
      <c r="M12" s="9"/>
      <c r="N12" s="9"/>
      <c r="O12" s="9"/>
      <c r="P12" s="9"/>
      <c r="Q12" s="9"/>
      <c r="R12" s="9"/>
      <c r="S12" s="9"/>
      <c r="T12" s="9"/>
      <c r="U12" s="9"/>
      <c r="V12" s="9"/>
      <c r="W12" s="9"/>
      <c r="X12" s="9"/>
    </row>
    <row r="13" spans="1:24" x14ac:dyDescent="0.3">
      <c r="A13" s="9"/>
      <c r="B13" s="9"/>
      <c r="C13" s="9"/>
      <c r="D13" s="9"/>
      <c r="E13" s="9"/>
      <c r="F13" s="9"/>
      <c r="G13" s="9"/>
      <c r="H13" s="9"/>
      <c r="I13" s="9"/>
      <c r="J13" s="9"/>
      <c r="K13" s="9"/>
      <c r="L13" s="9"/>
      <c r="M13" s="9"/>
      <c r="N13" s="9"/>
      <c r="O13" s="9"/>
      <c r="P13" s="9"/>
      <c r="Q13" s="9"/>
      <c r="R13" s="9"/>
      <c r="S13" s="9"/>
      <c r="T13" s="9"/>
      <c r="U13" s="9"/>
      <c r="V13" s="9"/>
      <c r="W13" s="9"/>
      <c r="X13" s="9"/>
    </row>
    <row r="14" spans="1:24" x14ac:dyDescent="0.3">
      <c r="A14" s="9"/>
      <c r="B14" s="9"/>
      <c r="C14" s="9"/>
      <c r="D14" s="9"/>
      <c r="E14" s="9"/>
      <c r="F14" s="9"/>
      <c r="G14" s="9"/>
      <c r="H14" s="9"/>
      <c r="I14" s="9"/>
      <c r="J14" s="9"/>
      <c r="K14" s="9"/>
      <c r="L14" s="9"/>
      <c r="M14" s="9"/>
      <c r="N14" s="9"/>
      <c r="O14" s="9"/>
      <c r="P14" s="9"/>
      <c r="Q14" s="9"/>
      <c r="R14" s="9"/>
      <c r="S14" s="9"/>
      <c r="T14" s="9"/>
      <c r="U14" s="9"/>
      <c r="V14" s="9"/>
      <c r="W14" s="9"/>
      <c r="X14" s="9"/>
    </row>
    <row r="15" spans="1:24" x14ac:dyDescent="0.3">
      <c r="A15" s="9"/>
      <c r="B15" s="9"/>
      <c r="C15" s="9"/>
      <c r="D15" s="9"/>
      <c r="E15" s="9"/>
      <c r="F15" s="9"/>
      <c r="G15" s="9"/>
      <c r="H15" s="9"/>
      <c r="I15" s="9"/>
      <c r="J15" s="9"/>
      <c r="K15" s="9"/>
      <c r="L15" s="9"/>
      <c r="M15" s="9"/>
      <c r="N15" s="9"/>
      <c r="O15" s="9"/>
      <c r="P15" s="9"/>
      <c r="Q15" s="9"/>
      <c r="R15" s="9"/>
      <c r="S15" s="9"/>
      <c r="T15" s="9"/>
      <c r="U15" s="9"/>
      <c r="V15" s="9"/>
      <c r="W15" s="9"/>
      <c r="X15" s="9"/>
    </row>
    <row r="16" spans="1:24" x14ac:dyDescent="0.3">
      <c r="A16" s="9"/>
      <c r="B16" s="9"/>
      <c r="C16" s="9"/>
      <c r="D16" s="9"/>
      <c r="E16" s="9"/>
      <c r="F16" s="9"/>
      <c r="G16" s="9"/>
      <c r="H16" s="9"/>
      <c r="I16" s="9"/>
      <c r="J16" s="9"/>
      <c r="K16" s="9"/>
      <c r="L16" s="9"/>
      <c r="M16" s="9"/>
      <c r="N16" s="9"/>
      <c r="O16" s="9"/>
      <c r="P16" s="9"/>
      <c r="Q16" s="9"/>
      <c r="R16" s="9"/>
      <c r="S16" s="9"/>
      <c r="T16" s="9"/>
      <c r="U16" s="9"/>
      <c r="V16" s="9"/>
      <c r="W16" s="9"/>
      <c r="X16" s="9"/>
    </row>
    <row r="17" spans="1:24" x14ac:dyDescent="0.3">
      <c r="A17" s="9"/>
      <c r="B17" s="9"/>
      <c r="C17" s="9"/>
      <c r="D17" s="9"/>
      <c r="E17" s="9"/>
      <c r="F17" s="9"/>
      <c r="G17" s="9"/>
      <c r="H17" s="9"/>
      <c r="I17" s="9"/>
      <c r="J17" s="9"/>
      <c r="K17" s="9"/>
      <c r="L17" s="9"/>
      <c r="M17" s="9"/>
      <c r="N17" s="9"/>
      <c r="O17" s="9"/>
      <c r="P17" s="9"/>
      <c r="Q17" s="9"/>
      <c r="R17" s="9"/>
      <c r="S17" s="9"/>
      <c r="T17" s="9"/>
      <c r="U17" s="9"/>
      <c r="V17" s="9"/>
      <c r="W17" s="9"/>
      <c r="X17" s="9"/>
    </row>
    <row r="18" spans="1:24" x14ac:dyDescent="0.3">
      <c r="A18" s="9"/>
      <c r="B18" s="9"/>
      <c r="C18" s="9"/>
      <c r="D18" s="9"/>
      <c r="E18" s="9"/>
      <c r="F18" s="9"/>
      <c r="G18" s="9"/>
      <c r="H18" s="9"/>
      <c r="I18" s="9"/>
      <c r="J18" s="9"/>
      <c r="K18" s="9"/>
      <c r="L18" s="9"/>
      <c r="M18" s="9"/>
      <c r="N18" s="9"/>
      <c r="O18" s="9"/>
      <c r="P18" s="9"/>
      <c r="Q18" s="9"/>
      <c r="R18" s="9"/>
      <c r="S18" s="9"/>
      <c r="T18" s="9"/>
      <c r="U18" s="9"/>
      <c r="V18" s="9"/>
      <c r="W18" s="9"/>
      <c r="X18" s="9"/>
    </row>
    <row r="19" spans="1:24" x14ac:dyDescent="0.3">
      <c r="A19" s="9"/>
      <c r="B19" s="9"/>
      <c r="C19" s="9"/>
      <c r="D19" s="9"/>
      <c r="E19" s="9"/>
      <c r="F19" s="9"/>
      <c r="G19" s="9"/>
      <c r="H19" s="9"/>
      <c r="I19" s="9"/>
      <c r="J19" s="9"/>
      <c r="K19" s="9"/>
      <c r="L19" s="9"/>
      <c r="M19" s="9"/>
      <c r="N19" s="9"/>
      <c r="O19" s="9"/>
      <c r="P19" s="9"/>
      <c r="Q19" s="9"/>
      <c r="R19" s="9"/>
      <c r="S19" s="9"/>
      <c r="T19" s="9"/>
      <c r="U19" s="9"/>
      <c r="V19" s="9"/>
      <c r="W19" s="9"/>
      <c r="X19" s="9"/>
    </row>
    <row r="20" spans="1:24" x14ac:dyDescent="0.3">
      <c r="A20" s="9"/>
      <c r="B20" s="9"/>
      <c r="C20" s="9"/>
      <c r="D20" s="9"/>
      <c r="E20" s="9"/>
      <c r="F20" s="9"/>
      <c r="G20" s="9"/>
      <c r="H20" s="9"/>
      <c r="I20" s="9"/>
      <c r="J20" s="9"/>
      <c r="K20" s="9"/>
      <c r="L20" s="9"/>
      <c r="M20" s="9"/>
      <c r="N20" s="9"/>
      <c r="O20" s="9"/>
      <c r="P20" s="9"/>
      <c r="Q20" s="9"/>
      <c r="R20" s="9"/>
      <c r="S20" s="9"/>
      <c r="T20" s="9"/>
      <c r="U20" s="9"/>
      <c r="V20" s="9"/>
      <c r="W20" s="9"/>
      <c r="X20" s="9"/>
    </row>
    <row r="21" spans="1:24" x14ac:dyDescent="0.3">
      <c r="A21" s="9"/>
      <c r="B21" s="9"/>
      <c r="C21" s="9"/>
      <c r="D21" s="9"/>
      <c r="E21" s="9"/>
      <c r="F21" s="9"/>
      <c r="G21" s="9"/>
      <c r="H21" s="9"/>
      <c r="I21" s="9"/>
      <c r="J21" s="9"/>
      <c r="K21" s="9"/>
      <c r="L21" s="9"/>
      <c r="M21" s="9"/>
      <c r="N21" s="9"/>
      <c r="O21" s="9"/>
      <c r="P21" s="9"/>
      <c r="Q21" s="9"/>
      <c r="R21" s="9"/>
      <c r="S21" s="9"/>
      <c r="T21" s="9"/>
      <c r="U21" s="9"/>
      <c r="V21" s="9"/>
      <c r="W21" s="9"/>
      <c r="X21" s="9"/>
    </row>
    <row r="22" spans="1:24" x14ac:dyDescent="0.3">
      <c r="A22" s="9"/>
      <c r="B22" s="9"/>
      <c r="C22" s="9"/>
      <c r="D22" s="9"/>
      <c r="E22" s="9"/>
      <c r="F22" s="9"/>
      <c r="G22" s="9"/>
      <c r="H22" s="9"/>
      <c r="I22" s="9"/>
      <c r="J22" s="9"/>
      <c r="K22" s="9"/>
      <c r="L22" s="9"/>
      <c r="M22" s="9"/>
      <c r="N22" s="9"/>
      <c r="O22" s="9"/>
      <c r="P22" s="9"/>
      <c r="Q22" s="9"/>
      <c r="R22" s="9"/>
      <c r="S22" s="9"/>
      <c r="T22" s="9"/>
      <c r="U22" s="9"/>
      <c r="V22" s="9"/>
      <c r="W22" s="9"/>
      <c r="X22" s="9"/>
    </row>
    <row r="23" spans="1:24" x14ac:dyDescent="0.3">
      <c r="A23" s="9"/>
      <c r="B23" s="9"/>
      <c r="C23" s="9"/>
      <c r="D23" s="9"/>
      <c r="E23" s="9"/>
      <c r="F23" s="9"/>
      <c r="G23" s="9"/>
      <c r="H23" s="9"/>
      <c r="I23" s="9"/>
      <c r="J23" s="9"/>
      <c r="K23" s="9"/>
      <c r="L23" s="9"/>
      <c r="M23" s="9"/>
      <c r="N23" s="9"/>
      <c r="O23" s="9"/>
      <c r="P23" s="9"/>
      <c r="Q23" s="9"/>
      <c r="R23" s="9"/>
      <c r="S23" s="9"/>
      <c r="T23" s="9"/>
      <c r="U23" s="9"/>
      <c r="V23" s="9"/>
      <c r="W23" s="9"/>
      <c r="X23" s="9"/>
    </row>
    <row r="24" spans="1:24" x14ac:dyDescent="0.3">
      <c r="A24" s="9"/>
      <c r="B24" s="9"/>
      <c r="C24" s="9"/>
      <c r="D24" s="9"/>
      <c r="E24" s="9"/>
      <c r="F24" s="9"/>
      <c r="G24" s="9"/>
      <c r="H24" s="9"/>
      <c r="I24" s="9"/>
      <c r="J24" s="9"/>
      <c r="K24" s="9"/>
      <c r="L24" s="9"/>
      <c r="M24" s="9"/>
      <c r="N24" s="9"/>
      <c r="O24" s="9"/>
      <c r="P24" s="9"/>
      <c r="Q24" s="9"/>
      <c r="R24" s="9"/>
      <c r="S24" s="9"/>
      <c r="T24" s="9"/>
      <c r="U24" s="9"/>
      <c r="V24" s="9"/>
      <c r="W24" s="9"/>
      <c r="X24" s="9"/>
    </row>
    <row r="25" spans="1:24" x14ac:dyDescent="0.3">
      <c r="A25" s="9"/>
      <c r="B25" s="9"/>
      <c r="C25" s="9"/>
      <c r="D25" s="9"/>
      <c r="E25" s="9"/>
      <c r="F25" s="9"/>
      <c r="G25" s="9"/>
      <c r="H25" s="9"/>
      <c r="I25" s="9"/>
      <c r="J25" s="9"/>
      <c r="K25" s="9"/>
      <c r="L25" s="9"/>
      <c r="M25" s="9"/>
      <c r="N25" s="9"/>
      <c r="O25" s="9"/>
      <c r="P25" s="9"/>
      <c r="Q25" s="9"/>
      <c r="R25" s="9"/>
      <c r="S25" s="9"/>
      <c r="T25" s="9"/>
      <c r="U25" s="9"/>
      <c r="V25" s="9"/>
      <c r="W25" s="9"/>
      <c r="X25" s="9"/>
    </row>
    <row r="26" spans="1:24" x14ac:dyDescent="0.3">
      <c r="A26" s="9"/>
      <c r="B26" s="9"/>
      <c r="C26" s="9"/>
      <c r="D26" s="9"/>
      <c r="E26" s="9"/>
      <c r="F26" s="9"/>
      <c r="G26" s="9"/>
      <c r="H26" s="9"/>
      <c r="I26" s="9"/>
      <c r="J26" s="9"/>
      <c r="K26" s="9"/>
      <c r="L26" s="9"/>
      <c r="M26" s="9"/>
      <c r="N26" s="9"/>
      <c r="O26" s="9"/>
      <c r="P26" s="9"/>
      <c r="Q26" s="9"/>
      <c r="R26" s="9"/>
      <c r="S26" s="9"/>
      <c r="T26" s="9"/>
      <c r="U26" s="9"/>
      <c r="V26" s="9"/>
      <c r="W26" s="9"/>
      <c r="X26" s="9"/>
    </row>
    <row r="27" spans="1:24" x14ac:dyDescent="0.3">
      <c r="A27" s="9"/>
      <c r="B27" s="9"/>
      <c r="C27" s="9"/>
      <c r="D27" s="9"/>
      <c r="E27" s="9"/>
      <c r="F27" s="9"/>
      <c r="G27" s="9"/>
      <c r="H27" s="9"/>
      <c r="I27" s="9"/>
      <c r="J27" s="9"/>
      <c r="K27" s="9"/>
      <c r="L27" s="9"/>
      <c r="M27" s="9"/>
      <c r="N27" s="9"/>
      <c r="O27" s="9"/>
      <c r="P27" s="9"/>
      <c r="Q27" s="9"/>
      <c r="R27" s="9"/>
      <c r="S27" s="9"/>
      <c r="T27" s="9"/>
      <c r="U27" s="9"/>
      <c r="V27" s="9"/>
      <c r="W27" s="9"/>
      <c r="X27" s="9"/>
    </row>
    <row r="28" spans="1:24" x14ac:dyDescent="0.3">
      <c r="A28" s="9"/>
      <c r="B28" s="9"/>
      <c r="C28" s="9"/>
      <c r="D28" s="9"/>
      <c r="E28" s="9"/>
      <c r="F28" s="9"/>
      <c r="G28" s="9"/>
      <c r="H28" s="9"/>
      <c r="I28" s="9"/>
      <c r="J28" s="9"/>
      <c r="K28" s="9"/>
      <c r="L28" s="9"/>
      <c r="M28" s="9"/>
      <c r="N28" s="9"/>
      <c r="O28" s="9"/>
      <c r="P28" s="9"/>
      <c r="Q28" s="9"/>
      <c r="R28" s="9"/>
      <c r="S28" s="9"/>
      <c r="T28" s="9"/>
      <c r="U28" s="9"/>
      <c r="V28" s="9"/>
      <c r="W28" s="9"/>
      <c r="X28" s="9"/>
    </row>
    <row r="29" spans="1:24" x14ac:dyDescent="0.3">
      <c r="A29" s="9"/>
      <c r="B29" s="9"/>
      <c r="C29" s="9"/>
      <c r="D29" s="9"/>
      <c r="E29" s="9"/>
      <c r="F29" s="9"/>
      <c r="G29" s="9"/>
      <c r="H29" s="9"/>
      <c r="I29" s="9"/>
      <c r="J29" s="9"/>
      <c r="K29" s="9"/>
      <c r="L29" s="9"/>
      <c r="M29" s="9"/>
      <c r="N29" s="9"/>
      <c r="O29" s="9"/>
      <c r="P29" s="9"/>
      <c r="Q29" s="9"/>
      <c r="R29" s="9"/>
      <c r="S29" s="9"/>
      <c r="T29" s="9"/>
      <c r="U29" s="9"/>
      <c r="V29" s="9"/>
      <c r="W29" s="9"/>
      <c r="X29" s="9"/>
    </row>
    <row r="30" spans="1:24" x14ac:dyDescent="0.3">
      <c r="A30" s="9"/>
      <c r="B30" s="9"/>
      <c r="C30" s="9"/>
      <c r="D30" s="9"/>
      <c r="E30" s="9"/>
      <c r="F30" s="9"/>
      <c r="G30" s="9"/>
      <c r="H30" s="9"/>
      <c r="I30" s="9"/>
      <c r="J30" s="9"/>
      <c r="K30" s="9"/>
      <c r="L30" s="9"/>
      <c r="M30" s="9"/>
      <c r="N30" s="9"/>
      <c r="O30" s="9"/>
      <c r="P30" s="9"/>
      <c r="Q30" s="9"/>
      <c r="R30" s="9"/>
      <c r="S30" s="9"/>
      <c r="T30" s="9"/>
      <c r="U30" s="9"/>
      <c r="V30" s="9"/>
      <c r="W30" s="9"/>
      <c r="X30" s="9"/>
    </row>
    <row r="31" spans="1:24" x14ac:dyDescent="0.3">
      <c r="A31" s="9"/>
      <c r="B31" s="9"/>
      <c r="C31" s="9"/>
      <c r="D31" s="9"/>
      <c r="E31" s="9"/>
      <c r="F31" s="9"/>
      <c r="G31" s="9"/>
      <c r="H31" s="9"/>
      <c r="I31" s="9"/>
      <c r="J31" s="9"/>
      <c r="K31" s="9"/>
      <c r="L31" s="9"/>
      <c r="M31" s="9"/>
      <c r="N31" s="9"/>
      <c r="O31" s="9"/>
      <c r="P31" s="9"/>
      <c r="Q31" s="9"/>
      <c r="R31" s="9"/>
      <c r="S31" s="9"/>
      <c r="T31" s="9"/>
      <c r="U31" s="9"/>
      <c r="V31" s="9"/>
      <c r="W31" s="9"/>
      <c r="X31" s="9"/>
    </row>
    <row r="32" spans="1:24" x14ac:dyDescent="0.3">
      <c r="A32" s="9"/>
      <c r="B32" s="9"/>
      <c r="C32" s="9"/>
      <c r="D32" s="9"/>
      <c r="E32" s="9"/>
      <c r="F32" s="9"/>
      <c r="G32" s="9"/>
      <c r="H32" s="9"/>
      <c r="I32" s="9"/>
      <c r="J32" s="9"/>
      <c r="K32" s="9"/>
      <c r="L32" s="9"/>
      <c r="M32" s="9"/>
      <c r="N32" s="9"/>
      <c r="O32" s="9"/>
      <c r="P32" s="9"/>
      <c r="Q32" s="9"/>
      <c r="R32" s="9"/>
      <c r="S32" s="9"/>
      <c r="T32" s="9"/>
      <c r="U32" s="9"/>
      <c r="V32" s="9"/>
      <c r="W32" s="9"/>
      <c r="X32" s="9"/>
    </row>
    <row r="33" spans="1:24" x14ac:dyDescent="0.3">
      <c r="A33" s="9"/>
      <c r="B33" s="9"/>
      <c r="C33" s="9"/>
      <c r="D33" s="9"/>
      <c r="E33" s="9"/>
      <c r="F33" s="9"/>
      <c r="G33" s="9"/>
      <c r="H33" s="9"/>
      <c r="I33" s="9"/>
      <c r="J33" s="9"/>
      <c r="K33" s="9"/>
      <c r="L33" s="9"/>
      <c r="M33" s="9"/>
      <c r="N33" s="9"/>
      <c r="O33" s="9"/>
      <c r="P33" s="9"/>
      <c r="Q33" s="9"/>
      <c r="R33" s="9"/>
      <c r="S33" s="9"/>
      <c r="T33" s="9"/>
      <c r="U33" s="9"/>
      <c r="V33" s="9"/>
      <c r="W33" s="9"/>
      <c r="X33" s="9"/>
    </row>
    <row r="34" spans="1:24" x14ac:dyDescent="0.3">
      <c r="A34" s="9"/>
      <c r="B34" s="9"/>
      <c r="C34" s="9"/>
      <c r="D34" s="9"/>
      <c r="E34" s="9"/>
      <c r="F34" s="9"/>
      <c r="G34" s="9"/>
      <c r="H34" s="9"/>
      <c r="I34" s="9"/>
      <c r="J34" s="9"/>
      <c r="K34" s="9"/>
      <c r="L34" s="9"/>
      <c r="M34" s="9"/>
      <c r="N34" s="9"/>
      <c r="O34" s="9"/>
      <c r="P34" s="9"/>
      <c r="Q34" s="9"/>
      <c r="R34" s="9"/>
      <c r="S34" s="9"/>
      <c r="T34" s="9"/>
      <c r="U34" s="9"/>
      <c r="V34" s="9"/>
      <c r="W34" s="9"/>
      <c r="X34" s="9"/>
    </row>
    <row r="35" spans="1:24" x14ac:dyDescent="0.3">
      <c r="A35" s="9"/>
      <c r="B35" s="9"/>
      <c r="C35" s="9"/>
      <c r="D35" s="9"/>
      <c r="E35" s="9"/>
      <c r="F35" s="9"/>
      <c r="G35" s="9"/>
      <c r="H35" s="9"/>
      <c r="I35" s="9"/>
      <c r="J35" s="9"/>
      <c r="K35" s="9"/>
      <c r="L35" s="9"/>
      <c r="M35" s="9"/>
      <c r="N35" s="9"/>
      <c r="O35" s="9"/>
      <c r="P35" s="9"/>
      <c r="Q35" s="9"/>
      <c r="R35" s="9"/>
      <c r="S35" s="9"/>
      <c r="T35" s="9"/>
      <c r="U35" s="9"/>
      <c r="V35" s="9"/>
      <c r="W35" s="9"/>
      <c r="X35" s="9"/>
    </row>
    <row r="36" spans="1:24" x14ac:dyDescent="0.3">
      <c r="A36" s="8"/>
      <c r="B36" s="8"/>
      <c r="C36" s="8"/>
      <c r="D36" s="8"/>
      <c r="E36" s="8"/>
      <c r="F36" s="8"/>
      <c r="G36" s="8"/>
      <c r="H36" s="8"/>
      <c r="I36" s="8"/>
      <c r="J36" s="8"/>
      <c r="K36" s="8"/>
      <c r="L36" s="8"/>
      <c r="M36" s="8"/>
      <c r="N36" s="8"/>
      <c r="O36" s="8"/>
      <c r="P36" s="8"/>
      <c r="Q36" s="8"/>
      <c r="R36" s="8"/>
      <c r="S36" s="8"/>
      <c r="T36" s="8"/>
      <c r="U36" s="8"/>
      <c r="V36" s="8"/>
      <c r="W36" s="8"/>
      <c r="X36" s="8"/>
    </row>
  </sheetData>
  <sheetProtection selectLockedCells="1" pivotTables="0" selectUnlockedCells="1"/>
  <mergeCells count="1">
    <mergeCell ref="A1:X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986C7-2590-42A0-8C03-851D8A2F8EEF}">
  <sheetPr codeName="Sheet2"/>
  <dimension ref="A1:I17"/>
  <sheetViews>
    <sheetView workbookViewId="0">
      <selection activeCell="E16" sqref="E16"/>
    </sheetView>
  </sheetViews>
  <sheetFormatPr defaultRowHeight="14.4" x14ac:dyDescent="0.3"/>
  <cols>
    <col min="1" max="1" width="11.77734375" bestFit="1" customWidth="1"/>
    <col min="2" max="2" width="11.88671875" bestFit="1" customWidth="1"/>
    <col min="3" max="3" width="11" bestFit="1" customWidth="1"/>
    <col min="6" max="6" width="18.44140625" customWidth="1"/>
  </cols>
  <sheetData>
    <row r="1" spans="1:9" x14ac:dyDescent="0.3">
      <c r="A1" s="1" t="s">
        <v>0</v>
      </c>
      <c r="B1" t="s">
        <v>288</v>
      </c>
    </row>
    <row r="3" spans="1:9" x14ac:dyDescent="0.3">
      <c r="A3" t="s">
        <v>805</v>
      </c>
      <c r="B3" t="s">
        <v>804</v>
      </c>
      <c r="E3" t="str">
        <f>A3</f>
        <v>Total Periods</v>
      </c>
      <c r="F3" t="str">
        <f>B3</f>
        <v>Total Classes</v>
      </c>
    </row>
    <row r="4" spans="1:9" ht="21" x14ac:dyDescent="0.4">
      <c r="A4">
        <v>2863</v>
      </c>
      <c r="B4" s="16">
        <v>647</v>
      </c>
      <c r="E4">
        <f>GETPIVOTDATA("Total Periods",$A$3)</f>
        <v>2863</v>
      </c>
      <c r="F4">
        <f>GETPIVOTDATA("Total Classes",$A$3)</f>
        <v>647</v>
      </c>
    </row>
    <row r="5" spans="1:9" ht="25.8" x14ac:dyDescent="0.5">
      <c r="D5" s="4"/>
      <c r="F5" s="10"/>
      <c r="G5" s="14">
        <f>GETPIVOTDATA("Total Classes",$A$3)</f>
        <v>647</v>
      </c>
      <c r="I5" s="11"/>
    </row>
    <row r="6" spans="1:9" ht="28.8" x14ac:dyDescent="0.3">
      <c r="A6" s="4" t="s">
        <v>823</v>
      </c>
      <c r="B6" s="4"/>
      <c r="D6" t="s">
        <v>822</v>
      </c>
      <c r="F6" s="4" t="str">
        <f>D7&amp;CHAR(10)&amp;D6</f>
        <v>9
Peak Classes/Day</v>
      </c>
      <c r="I6" s="13" t="s">
        <v>821</v>
      </c>
    </row>
    <row r="7" spans="1:9" x14ac:dyDescent="0.3">
      <c r="D7" cm="1">
        <f t="array" ref="D7">MAX(COUNTIF(Date, Date))</f>
        <v>9</v>
      </c>
    </row>
    <row r="8" spans="1:9" ht="28.8" x14ac:dyDescent="0.3">
      <c r="A8" t="s">
        <v>806</v>
      </c>
      <c r="B8" s="4"/>
      <c r="D8" cm="1">
        <f t="array" ref="D8">MIN(COUNTIF(Date,Date))</f>
        <v>1</v>
      </c>
      <c r="F8" s="4" t="str">
        <f>D9&amp;CHAR(10)&amp;D8</f>
        <v>Min Classe per day
1</v>
      </c>
    </row>
    <row r="9" spans="1:9" x14ac:dyDescent="0.3">
      <c r="A9" s="15"/>
      <c r="D9" t="s">
        <v>803</v>
      </c>
    </row>
    <row r="11" spans="1:9" ht="28.8" x14ac:dyDescent="0.3">
      <c r="A11" s="4"/>
      <c r="B11" s="4"/>
      <c r="D11" s="5" cm="1">
        <f t="array" ref="D11">AVERAGE(COUNTIF(Date, Date))</f>
        <v>6.1591962905718702</v>
      </c>
      <c r="F11" s="4" t="str">
        <f>TEXT(D11,0)&amp;CHAR(10)&amp;D12</f>
        <v>6
Average Classes</v>
      </c>
    </row>
    <row r="12" spans="1:9" x14ac:dyDescent="0.3">
      <c r="B12" s="4"/>
      <c r="D12" t="s">
        <v>810</v>
      </c>
    </row>
    <row r="13" spans="1:9" x14ac:dyDescent="0.3">
      <c r="A13" t="s">
        <v>807</v>
      </c>
      <c r="B13" s="6"/>
    </row>
    <row r="14" spans="1:9" x14ac:dyDescent="0.3">
      <c r="A14" s="7"/>
    </row>
    <row r="15" spans="1:9" x14ac:dyDescent="0.3">
      <c r="I15" s="4"/>
    </row>
    <row r="16" spans="1:9" ht="57.6" x14ac:dyDescent="0.3">
      <c r="A16" s="4" t="s">
        <v>809</v>
      </c>
      <c r="B16" s="4" t="str">
        <f>TEXT(A17,0)&amp;CHAR(10)&amp;A16</f>
        <v>27
Average Periods</v>
      </c>
    </row>
    <row r="17" spans="1:1" x14ac:dyDescent="0.3">
      <c r="A17" s="5" cm="1">
        <f t="array" ref="A17">AVERAGE(SUMIF(Date,Date,Periods))</f>
        <v>27.361669242658422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9C63D-D927-4EBE-981F-F453BA97AEA0}">
  <sheetPr codeName="Sheet3"/>
  <dimension ref="A3:C16"/>
  <sheetViews>
    <sheetView workbookViewId="0">
      <selection activeCell="A16" sqref="A16"/>
    </sheetView>
  </sheetViews>
  <sheetFormatPr defaultRowHeight="14.4" x14ac:dyDescent="0.3"/>
  <cols>
    <col min="1" max="1" width="12.44140625" bestFit="1" customWidth="1"/>
    <col min="2" max="2" width="14.77734375" bestFit="1" customWidth="1"/>
    <col min="3" max="4" width="12" bestFit="1" customWidth="1"/>
  </cols>
  <sheetData>
    <row r="3" spans="1:3" x14ac:dyDescent="0.3">
      <c r="A3" s="1" t="s">
        <v>286</v>
      </c>
      <c r="B3" t="s">
        <v>361</v>
      </c>
      <c r="C3" t="s">
        <v>819</v>
      </c>
    </row>
    <row r="4" spans="1:3" x14ac:dyDescent="0.3">
      <c r="A4" s="2" t="s">
        <v>84</v>
      </c>
      <c r="B4">
        <v>306</v>
      </c>
      <c r="C4">
        <v>211</v>
      </c>
    </row>
    <row r="5" spans="1:3" x14ac:dyDescent="0.3">
      <c r="A5" s="2" t="s">
        <v>67</v>
      </c>
      <c r="B5">
        <v>392</v>
      </c>
      <c r="C5">
        <v>125</v>
      </c>
    </row>
    <row r="6" spans="1:3" x14ac:dyDescent="0.3">
      <c r="A6" s="2" t="s">
        <v>20</v>
      </c>
      <c r="B6">
        <v>406</v>
      </c>
      <c r="C6">
        <v>111</v>
      </c>
    </row>
    <row r="7" spans="1:3" x14ac:dyDescent="0.3">
      <c r="A7" s="2" t="s">
        <v>17</v>
      </c>
      <c r="B7">
        <v>418</v>
      </c>
      <c r="C7">
        <v>99</v>
      </c>
    </row>
    <row r="8" spans="1:3" x14ac:dyDescent="0.3">
      <c r="A8" s="2" t="s">
        <v>14</v>
      </c>
      <c r="B8">
        <v>477</v>
      </c>
      <c r="C8">
        <v>40</v>
      </c>
    </row>
    <row r="9" spans="1:3" x14ac:dyDescent="0.3">
      <c r="A9" s="2" t="s">
        <v>23</v>
      </c>
      <c r="B9">
        <v>517</v>
      </c>
      <c r="C9">
        <v>0</v>
      </c>
    </row>
    <row r="10" spans="1:3" x14ac:dyDescent="0.3">
      <c r="A10" s="2" t="s">
        <v>287</v>
      </c>
      <c r="B10">
        <v>2516</v>
      </c>
      <c r="C10">
        <v>-1999</v>
      </c>
    </row>
    <row r="15" spans="1:3" x14ac:dyDescent="0.3">
      <c r="A15" t="s">
        <v>944</v>
      </c>
    </row>
    <row r="16" spans="1:3" x14ac:dyDescent="0.3">
      <c r="A16" t="str">
        <f>A9</f>
        <v>Ullah</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0B4EA-5B63-4D3E-8DD8-7831AD5A9E3E}">
  <sheetPr codeName="Sheet4"/>
  <dimension ref="A3:C13"/>
  <sheetViews>
    <sheetView workbookViewId="0">
      <selection activeCell="N17" sqref="N17"/>
    </sheetView>
  </sheetViews>
  <sheetFormatPr defaultRowHeight="14.4" x14ac:dyDescent="0.3"/>
  <cols>
    <col min="1" max="1" width="12.44140625" bestFit="1" customWidth="1"/>
    <col min="2" max="2" width="15" bestFit="1" customWidth="1"/>
    <col min="3" max="3" width="12.21875" bestFit="1" customWidth="1"/>
  </cols>
  <sheetData>
    <row r="3" spans="1:3" x14ac:dyDescent="0.3">
      <c r="A3" s="1" t="s">
        <v>286</v>
      </c>
      <c r="B3" t="s">
        <v>361</v>
      </c>
      <c r="C3" t="s">
        <v>820</v>
      </c>
    </row>
    <row r="4" spans="1:3" x14ac:dyDescent="0.3">
      <c r="A4" s="2" t="s">
        <v>72</v>
      </c>
      <c r="B4">
        <v>13</v>
      </c>
      <c r="C4">
        <v>40</v>
      </c>
    </row>
    <row r="5" spans="1:3" x14ac:dyDescent="0.3">
      <c r="A5" s="2" t="s">
        <v>26</v>
      </c>
      <c r="B5">
        <v>13</v>
      </c>
      <c r="C5">
        <v>40</v>
      </c>
    </row>
    <row r="6" spans="1:3" x14ac:dyDescent="0.3">
      <c r="A6" s="2" t="s">
        <v>66</v>
      </c>
      <c r="B6">
        <v>14</v>
      </c>
      <c r="C6">
        <v>39</v>
      </c>
    </row>
    <row r="7" spans="1:3" x14ac:dyDescent="0.3">
      <c r="A7" s="2" t="s">
        <v>57</v>
      </c>
      <c r="B7">
        <v>24</v>
      </c>
      <c r="C7">
        <v>29</v>
      </c>
    </row>
    <row r="8" spans="1:3" x14ac:dyDescent="0.3">
      <c r="A8" s="2" t="s">
        <v>36</v>
      </c>
      <c r="B8">
        <v>29</v>
      </c>
      <c r="C8">
        <v>24</v>
      </c>
    </row>
    <row r="9" spans="1:3" x14ac:dyDescent="0.3">
      <c r="A9" s="2" t="s">
        <v>62</v>
      </c>
      <c r="B9">
        <v>33</v>
      </c>
      <c r="C9">
        <v>20</v>
      </c>
    </row>
    <row r="10" spans="1:3" x14ac:dyDescent="0.3">
      <c r="A10" s="2" t="s">
        <v>46</v>
      </c>
      <c r="B10">
        <v>35</v>
      </c>
      <c r="C10">
        <v>18</v>
      </c>
    </row>
    <row r="11" spans="1:3" x14ac:dyDescent="0.3">
      <c r="A11" s="2" t="s">
        <v>114</v>
      </c>
      <c r="B11">
        <v>48</v>
      </c>
      <c r="C11">
        <v>5</v>
      </c>
    </row>
    <row r="12" spans="1:3" x14ac:dyDescent="0.3">
      <c r="A12" s="2" t="s">
        <v>179</v>
      </c>
      <c r="B12">
        <v>53</v>
      </c>
      <c r="C12">
        <v>0</v>
      </c>
    </row>
    <row r="13" spans="1:3" x14ac:dyDescent="0.3">
      <c r="A13" s="2" t="s">
        <v>287</v>
      </c>
      <c r="B13">
        <v>262</v>
      </c>
      <c r="C13">
        <v>-209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DC9BD-72A1-45B3-9D48-EC55E512F626}">
  <sheetPr codeName="Sheet5"/>
  <dimension ref="A1:L26"/>
  <sheetViews>
    <sheetView workbookViewId="0">
      <selection activeCell="A12" sqref="A12"/>
    </sheetView>
  </sheetViews>
  <sheetFormatPr defaultRowHeight="14.4" x14ac:dyDescent="0.3"/>
  <cols>
    <col min="1" max="1" width="12.44140625" bestFit="1" customWidth="1"/>
    <col min="2" max="2" width="14.77734375" bestFit="1" customWidth="1"/>
    <col min="3" max="3" width="13.33203125" bestFit="1" customWidth="1"/>
  </cols>
  <sheetData>
    <row r="1" spans="1:2" x14ac:dyDescent="0.3">
      <c r="A1" s="1" t="s">
        <v>942</v>
      </c>
      <c r="B1" t="s">
        <v>943</v>
      </c>
    </row>
    <row r="3" spans="1:2" x14ac:dyDescent="0.3">
      <c r="A3" s="1" t="s">
        <v>286</v>
      </c>
      <c r="B3" t="s">
        <v>289</v>
      </c>
    </row>
    <row r="4" spans="1:2" x14ac:dyDescent="0.3">
      <c r="A4" s="2" t="s">
        <v>13</v>
      </c>
      <c r="B4">
        <v>47</v>
      </c>
    </row>
    <row r="5" spans="1:2" x14ac:dyDescent="0.3">
      <c r="A5" s="2" t="s">
        <v>126</v>
      </c>
      <c r="B5">
        <v>25</v>
      </c>
    </row>
    <row r="6" spans="1:2" x14ac:dyDescent="0.3">
      <c r="A6" s="2" t="s">
        <v>105</v>
      </c>
      <c r="B6">
        <v>20</v>
      </c>
    </row>
    <row r="7" spans="1:2" x14ac:dyDescent="0.3">
      <c r="A7" s="2" t="s">
        <v>83</v>
      </c>
      <c r="B7">
        <v>19</v>
      </c>
    </row>
    <row r="8" spans="1:2" x14ac:dyDescent="0.3">
      <c r="A8" s="2" t="s">
        <v>48</v>
      </c>
      <c r="B8">
        <v>18</v>
      </c>
    </row>
    <row r="9" spans="1:2" x14ac:dyDescent="0.3">
      <c r="A9" s="2" t="s">
        <v>69</v>
      </c>
      <c r="B9">
        <v>17</v>
      </c>
    </row>
    <row r="10" spans="1:2" x14ac:dyDescent="0.3">
      <c r="A10" s="2" t="s">
        <v>287</v>
      </c>
      <c r="B10">
        <v>146</v>
      </c>
    </row>
    <row r="25" spans="12:12" x14ac:dyDescent="0.3">
      <c r="L25" t="s">
        <v>808</v>
      </c>
    </row>
    <row r="26" spans="12:12" x14ac:dyDescent="0.3">
      <c r="L26" t="str">
        <f>A4</f>
        <v>NSCC Prof.</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0BF40-6B91-4922-83DE-D30C8BB028F0}">
  <sheetPr codeName="Sheet6"/>
  <dimension ref="A3:B11"/>
  <sheetViews>
    <sheetView workbookViewId="0">
      <selection activeCell="R15" sqref="R15"/>
    </sheetView>
  </sheetViews>
  <sheetFormatPr defaultRowHeight="14.4" x14ac:dyDescent="0.3"/>
  <cols>
    <col min="1" max="1" width="12.44140625" bestFit="1" customWidth="1"/>
    <col min="2" max="2" width="12" bestFit="1" customWidth="1"/>
  </cols>
  <sheetData>
    <row r="3" spans="1:2" x14ac:dyDescent="0.3">
      <c r="A3" s="1" t="s">
        <v>286</v>
      </c>
      <c r="B3" t="s">
        <v>811</v>
      </c>
    </row>
    <row r="4" spans="1:2" x14ac:dyDescent="0.3">
      <c r="A4" s="2" t="s">
        <v>8</v>
      </c>
      <c r="B4">
        <v>98</v>
      </c>
    </row>
    <row r="5" spans="1:2" x14ac:dyDescent="0.3">
      <c r="A5" s="2" t="s">
        <v>104</v>
      </c>
      <c r="B5">
        <v>113</v>
      </c>
    </row>
    <row r="6" spans="1:2" x14ac:dyDescent="0.3">
      <c r="A6" s="2" t="s">
        <v>147</v>
      </c>
      <c r="B6">
        <v>83</v>
      </c>
    </row>
    <row r="7" spans="1:2" x14ac:dyDescent="0.3">
      <c r="A7" s="2" t="s">
        <v>164</v>
      </c>
      <c r="B7">
        <v>93</v>
      </c>
    </row>
    <row r="8" spans="1:2" x14ac:dyDescent="0.3">
      <c r="A8" s="2" t="s">
        <v>183</v>
      </c>
      <c r="B8">
        <v>61</v>
      </c>
    </row>
    <row r="9" spans="1:2" x14ac:dyDescent="0.3">
      <c r="A9" s="2" t="s">
        <v>197</v>
      </c>
      <c r="B9">
        <v>77</v>
      </c>
    </row>
    <row r="10" spans="1:2" x14ac:dyDescent="0.3">
      <c r="A10" s="2" t="s">
        <v>205</v>
      </c>
      <c r="B10">
        <v>122</v>
      </c>
    </row>
    <row r="11" spans="1:2" x14ac:dyDescent="0.3">
      <c r="A11" s="2" t="s">
        <v>287</v>
      </c>
      <c r="B11">
        <v>647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7967C-0F4E-454F-BA67-B9C9E906C697}">
  <sheetPr codeName="Sheet7"/>
  <dimension ref="A3:B9"/>
  <sheetViews>
    <sheetView workbookViewId="0">
      <selection activeCell="P20" sqref="P20"/>
    </sheetView>
  </sheetViews>
  <sheetFormatPr defaultRowHeight="14.4" x14ac:dyDescent="0.3"/>
  <cols>
    <col min="1" max="1" width="12.44140625" bestFit="1" customWidth="1"/>
    <col min="2" max="2" width="16.88671875" bestFit="1" customWidth="1"/>
  </cols>
  <sheetData>
    <row r="3" spans="1:2" x14ac:dyDescent="0.3">
      <c r="A3" s="1" t="s">
        <v>286</v>
      </c>
      <c r="B3" t="s">
        <v>290</v>
      </c>
    </row>
    <row r="4" spans="1:2" x14ac:dyDescent="0.3">
      <c r="A4" s="2" t="s">
        <v>816</v>
      </c>
      <c r="B4">
        <v>106</v>
      </c>
    </row>
    <row r="5" spans="1:2" x14ac:dyDescent="0.3">
      <c r="A5" s="2" t="s">
        <v>812</v>
      </c>
      <c r="B5">
        <v>121</v>
      </c>
    </row>
    <row r="6" spans="1:2" x14ac:dyDescent="0.3">
      <c r="A6" s="2" t="s">
        <v>814</v>
      </c>
      <c r="B6">
        <v>138</v>
      </c>
    </row>
    <row r="7" spans="1:2" x14ac:dyDescent="0.3">
      <c r="A7" s="2" t="s">
        <v>817</v>
      </c>
      <c r="B7">
        <v>144</v>
      </c>
    </row>
    <row r="8" spans="1:2" x14ac:dyDescent="0.3">
      <c r="A8" s="2" t="s">
        <v>815</v>
      </c>
      <c r="B8">
        <v>138</v>
      </c>
    </row>
    <row r="9" spans="1:2" x14ac:dyDescent="0.3">
      <c r="A9" s="2" t="s">
        <v>287</v>
      </c>
      <c r="B9">
        <v>647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9BD18-8CE2-475B-B4B9-4C25579B5A68}">
  <dimension ref="A3:L119"/>
  <sheetViews>
    <sheetView workbookViewId="0">
      <selection activeCell="L4" sqref="L4"/>
    </sheetView>
  </sheetViews>
  <sheetFormatPr defaultRowHeight="14.4" x14ac:dyDescent="0.3"/>
  <cols>
    <col min="1" max="1" width="12.44140625" bestFit="1" customWidth="1"/>
    <col min="2" max="2" width="20.77734375" bestFit="1" customWidth="1"/>
    <col min="3" max="3" width="16.88671875" bestFit="1" customWidth="1"/>
    <col min="9" max="9" width="12.44140625" bestFit="1" customWidth="1"/>
    <col min="10" max="10" width="16.88671875" bestFit="1" customWidth="1"/>
  </cols>
  <sheetData>
    <row r="3" spans="1:12" x14ac:dyDescent="0.3">
      <c r="A3" s="1" t="s">
        <v>286</v>
      </c>
      <c r="B3" t="s">
        <v>939</v>
      </c>
      <c r="C3" t="s">
        <v>290</v>
      </c>
      <c r="I3" s="1" t="s">
        <v>286</v>
      </c>
      <c r="J3" t="s">
        <v>290</v>
      </c>
      <c r="L3">
        <f>$J$4</f>
        <v>9</v>
      </c>
    </row>
    <row r="4" spans="1:12" x14ac:dyDescent="0.3">
      <c r="A4" s="2" t="s">
        <v>934</v>
      </c>
      <c r="B4">
        <v>63</v>
      </c>
      <c r="C4">
        <v>9</v>
      </c>
      <c r="D4" t="str">
        <f>A4</f>
        <v>12-Dec</v>
      </c>
      <c r="E4">
        <f>$B$4</f>
        <v>63</v>
      </c>
      <c r="I4" s="2" t="s">
        <v>933</v>
      </c>
      <c r="J4">
        <v>9</v>
      </c>
    </row>
    <row r="5" spans="1:12" x14ac:dyDescent="0.3">
      <c r="A5" s="2" t="s">
        <v>925</v>
      </c>
      <c r="B5">
        <v>51</v>
      </c>
      <c r="C5">
        <v>9</v>
      </c>
      <c r="I5" s="2" t="s">
        <v>897</v>
      </c>
      <c r="J5">
        <v>9</v>
      </c>
    </row>
    <row r="6" spans="1:12" x14ac:dyDescent="0.3">
      <c r="A6" s="2" t="s">
        <v>832</v>
      </c>
      <c r="B6">
        <v>49</v>
      </c>
      <c r="C6">
        <v>9</v>
      </c>
      <c r="I6" s="2" t="s">
        <v>934</v>
      </c>
      <c r="J6">
        <v>9</v>
      </c>
    </row>
    <row r="7" spans="1:12" x14ac:dyDescent="0.3">
      <c r="A7" s="2" t="s">
        <v>913</v>
      </c>
      <c r="B7">
        <v>46</v>
      </c>
      <c r="C7">
        <v>8</v>
      </c>
      <c r="I7" s="2" t="s">
        <v>832</v>
      </c>
      <c r="J7">
        <v>9</v>
      </c>
    </row>
    <row r="8" spans="1:12" x14ac:dyDescent="0.3">
      <c r="A8" s="2" t="s">
        <v>876</v>
      </c>
      <c r="B8">
        <v>46</v>
      </c>
      <c r="C8">
        <v>8</v>
      </c>
      <c r="I8" s="2" t="s">
        <v>925</v>
      </c>
      <c r="J8">
        <v>9</v>
      </c>
    </row>
    <row r="9" spans="1:12" x14ac:dyDescent="0.3">
      <c r="A9" s="2" t="s">
        <v>838</v>
      </c>
      <c r="B9">
        <v>42</v>
      </c>
      <c r="C9">
        <v>8</v>
      </c>
      <c r="I9" s="2" t="s">
        <v>845</v>
      </c>
      <c r="J9">
        <v>9</v>
      </c>
    </row>
    <row r="10" spans="1:12" x14ac:dyDescent="0.3">
      <c r="A10" s="2" t="s">
        <v>870</v>
      </c>
      <c r="B10">
        <v>40</v>
      </c>
      <c r="C10">
        <v>7</v>
      </c>
      <c r="I10" s="2" t="s">
        <v>913</v>
      </c>
      <c r="J10">
        <v>8</v>
      </c>
    </row>
    <row r="11" spans="1:12" x14ac:dyDescent="0.3">
      <c r="A11" s="2" t="s">
        <v>847</v>
      </c>
      <c r="B11">
        <v>40</v>
      </c>
      <c r="C11">
        <v>8</v>
      </c>
      <c r="I11" s="2" t="s">
        <v>906</v>
      </c>
      <c r="J11">
        <v>8</v>
      </c>
    </row>
    <row r="12" spans="1:12" x14ac:dyDescent="0.3">
      <c r="A12" s="2" t="s">
        <v>856</v>
      </c>
      <c r="B12">
        <v>39</v>
      </c>
      <c r="C12">
        <v>7</v>
      </c>
      <c r="I12" s="2" t="s">
        <v>838</v>
      </c>
      <c r="J12">
        <v>8</v>
      </c>
    </row>
    <row r="13" spans="1:12" x14ac:dyDescent="0.3">
      <c r="A13" s="2" t="s">
        <v>920</v>
      </c>
      <c r="B13">
        <v>39</v>
      </c>
      <c r="C13">
        <v>7</v>
      </c>
      <c r="I13" s="2" t="s">
        <v>840</v>
      </c>
      <c r="J13">
        <v>8</v>
      </c>
    </row>
    <row r="14" spans="1:12" x14ac:dyDescent="0.3">
      <c r="A14" s="2" t="s">
        <v>921</v>
      </c>
      <c r="B14">
        <v>39</v>
      </c>
      <c r="C14">
        <v>7</v>
      </c>
      <c r="I14" s="2" t="s">
        <v>847</v>
      </c>
      <c r="J14">
        <v>8</v>
      </c>
    </row>
    <row r="15" spans="1:12" x14ac:dyDescent="0.3">
      <c r="A15" s="2" t="s">
        <v>848</v>
      </c>
      <c r="B15">
        <v>37</v>
      </c>
      <c r="C15">
        <v>7</v>
      </c>
      <c r="I15" s="2" t="s">
        <v>876</v>
      </c>
      <c r="J15">
        <v>8</v>
      </c>
    </row>
    <row r="16" spans="1:12" x14ac:dyDescent="0.3">
      <c r="A16" s="2" t="s">
        <v>872</v>
      </c>
      <c r="B16">
        <v>37</v>
      </c>
      <c r="C16">
        <v>7</v>
      </c>
      <c r="I16" s="2" t="s">
        <v>920</v>
      </c>
      <c r="J16">
        <v>7</v>
      </c>
    </row>
    <row r="17" spans="1:10" x14ac:dyDescent="0.3">
      <c r="A17" s="2" t="s">
        <v>879</v>
      </c>
      <c r="B17">
        <v>37</v>
      </c>
      <c r="C17">
        <v>7</v>
      </c>
      <c r="I17" s="2" t="s">
        <v>912</v>
      </c>
      <c r="J17">
        <v>7</v>
      </c>
    </row>
    <row r="18" spans="1:10" x14ac:dyDescent="0.3">
      <c r="A18" s="2" t="s">
        <v>829</v>
      </c>
      <c r="B18">
        <v>37</v>
      </c>
      <c r="C18">
        <v>7</v>
      </c>
      <c r="I18" s="2" t="s">
        <v>858</v>
      </c>
      <c r="J18">
        <v>7</v>
      </c>
    </row>
    <row r="19" spans="1:10" x14ac:dyDescent="0.3">
      <c r="A19" s="2" t="s">
        <v>891</v>
      </c>
      <c r="B19">
        <v>37</v>
      </c>
      <c r="C19">
        <v>7</v>
      </c>
      <c r="I19" s="2" t="s">
        <v>870</v>
      </c>
      <c r="J19">
        <v>7</v>
      </c>
    </row>
    <row r="20" spans="1:10" x14ac:dyDescent="0.3">
      <c r="A20" s="2" t="s">
        <v>912</v>
      </c>
      <c r="B20">
        <v>35</v>
      </c>
      <c r="C20">
        <v>7</v>
      </c>
      <c r="I20" s="2" t="s">
        <v>914</v>
      </c>
      <c r="J20">
        <v>7</v>
      </c>
    </row>
    <row r="21" spans="1:10" x14ac:dyDescent="0.3">
      <c r="A21" s="2" t="s">
        <v>933</v>
      </c>
      <c r="B21">
        <v>35</v>
      </c>
      <c r="C21">
        <v>9</v>
      </c>
      <c r="I21" s="2" t="s">
        <v>872</v>
      </c>
      <c r="J21">
        <v>7</v>
      </c>
    </row>
    <row r="22" spans="1:10" x14ac:dyDescent="0.3">
      <c r="A22" s="2" t="s">
        <v>926</v>
      </c>
      <c r="B22">
        <v>35</v>
      </c>
      <c r="C22">
        <v>6</v>
      </c>
      <c r="I22" s="2" t="s">
        <v>924</v>
      </c>
      <c r="J22">
        <v>7</v>
      </c>
    </row>
    <row r="23" spans="1:10" x14ac:dyDescent="0.3">
      <c r="A23" s="2" t="s">
        <v>881</v>
      </c>
      <c r="B23">
        <v>35</v>
      </c>
      <c r="C23">
        <v>7</v>
      </c>
      <c r="I23" s="2" t="s">
        <v>830</v>
      </c>
      <c r="J23">
        <v>7</v>
      </c>
    </row>
    <row r="24" spans="1:10" x14ac:dyDescent="0.3">
      <c r="A24" s="2" t="s">
        <v>930</v>
      </c>
      <c r="B24">
        <v>34</v>
      </c>
      <c r="C24">
        <v>6</v>
      </c>
      <c r="I24" s="2" t="s">
        <v>910</v>
      </c>
      <c r="J24">
        <v>7</v>
      </c>
    </row>
    <row r="25" spans="1:10" x14ac:dyDescent="0.3">
      <c r="A25" s="2" t="s">
        <v>828</v>
      </c>
      <c r="B25">
        <v>33</v>
      </c>
      <c r="C25">
        <v>7</v>
      </c>
      <c r="I25" s="2" t="s">
        <v>879</v>
      </c>
      <c r="J25">
        <v>7</v>
      </c>
    </row>
    <row r="26" spans="1:10" x14ac:dyDescent="0.3">
      <c r="A26" s="2" t="s">
        <v>907</v>
      </c>
      <c r="B26">
        <v>32</v>
      </c>
      <c r="C26">
        <v>6</v>
      </c>
      <c r="I26" s="2" t="s">
        <v>848</v>
      </c>
      <c r="J26">
        <v>7</v>
      </c>
    </row>
    <row r="27" spans="1:10" x14ac:dyDescent="0.3">
      <c r="A27" s="2" t="s">
        <v>900</v>
      </c>
      <c r="B27">
        <v>32</v>
      </c>
      <c r="C27">
        <v>6</v>
      </c>
      <c r="I27" s="2" t="s">
        <v>888</v>
      </c>
      <c r="J27">
        <v>7</v>
      </c>
    </row>
    <row r="28" spans="1:10" x14ac:dyDescent="0.3">
      <c r="A28" s="2" t="s">
        <v>917</v>
      </c>
      <c r="B28">
        <v>32</v>
      </c>
      <c r="C28">
        <v>6</v>
      </c>
      <c r="I28" s="2" t="s">
        <v>919</v>
      </c>
      <c r="J28">
        <v>7</v>
      </c>
    </row>
    <row r="29" spans="1:10" x14ac:dyDescent="0.3">
      <c r="A29" s="2" t="s">
        <v>846</v>
      </c>
      <c r="B29">
        <v>32</v>
      </c>
      <c r="C29">
        <v>6</v>
      </c>
      <c r="I29" s="2" t="s">
        <v>891</v>
      </c>
      <c r="J29">
        <v>7</v>
      </c>
    </row>
    <row r="30" spans="1:10" x14ac:dyDescent="0.3">
      <c r="A30" s="2" t="s">
        <v>841</v>
      </c>
      <c r="B30">
        <v>32</v>
      </c>
      <c r="C30">
        <v>6</v>
      </c>
      <c r="I30" s="2" t="s">
        <v>921</v>
      </c>
      <c r="J30">
        <v>7</v>
      </c>
    </row>
    <row r="31" spans="1:10" x14ac:dyDescent="0.3">
      <c r="A31" s="2" t="s">
        <v>852</v>
      </c>
      <c r="B31">
        <v>32</v>
      </c>
      <c r="C31">
        <v>6</v>
      </c>
      <c r="I31" s="2" t="s">
        <v>892</v>
      </c>
      <c r="J31">
        <v>7</v>
      </c>
    </row>
    <row r="32" spans="1:10" x14ac:dyDescent="0.3">
      <c r="A32" s="2" t="s">
        <v>906</v>
      </c>
      <c r="B32">
        <v>32</v>
      </c>
      <c r="C32">
        <v>8</v>
      </c>
      <c r="I32" s="2" t="s">
        <v>856</v>
      </c>
      <c r="J32">
        <v>7</v>
      </c>
    </row>
    <row r="33" spans="1:10" x14ac:dyDescent="0.3">
      <c r="A33" s="2" t="s">
        <v>853</v>
      </c>
      <c r="B33">
        <v>32</v>
      </c>
      <c r="C33">
        <v>6</v>
      </c>
      <c r="I33" s="2" t="s">
        <v>828</v>
      </c>
      <c r="J33">
        <v>7</v>
      </c>
    </row>
    <row r="34" spans="1:10" x14ac:dyDescent="0.3">
      <c r="A34" s="2" t="s">
        <v>916</v>
      </c>
      <c r="B34">
        <v>32</v>
      </c>
      <c r="C34">
        <v>6</v>
      </c>
      <c r="I34" s="2" t="s">
        <v>864</v>
      </c>
      <c r="J34">
        <v>7</v>
      </c>
    </row>
    <row r="35" spans="1:10" x14ac:dyDescent="0.3">
      <c r="A35" s="2" t="s">
        <v>866</v>
      </c>
      <c r="B35">
        <v>32</v>
      </c>
      <c r="C35">
        <v>6</v>
      </c>
      <c r="I35" s="2" t="s">
        <v>829</v>
      </c>
      <c r="J35">
        <v>7</v>
      </c>
    </row>
    <row r="36" spans="1:10" x14ac:dyDescent="0.3">
      <c r="A36" s="2" t="s">
        <v>840</v>
      </c>
      <c r="B36">
        <v>32</v>
      </c>
      <c r="C36">
        <v>8</v>
      </c>
      <c r="I36" s="2" t="s">
        <v>881</v>
      </c>
      <c r="J36">
        <v>7</v>
      </c>
    </row>
    <row r="37" spans="1:10" x14ac:dyDescent="0.3">
      <c r="A37" s="2" t="s">
        <v>871</v>
      </c>
      <c r="B37">
        <v>32</v>
      </c>
      <c r="C37">
        <v>6</v>
      </c>
      <c r="I37" s="2" t="s">
        <v>930</v>
      </c>
      <c r="J37">
        <v>6</v>
      </c>
    </row>
    <row r="38" spans="1:10" x14ac:dyDescent="0.3">
      <c r="A38" s="2" t="s">
        <v>929</v>
      </c>
      <c r="B38">
        <v>32</v>
      </c>
      <c r="C38">
        <v>6</v>
      </c>
      <c r="I38" s="2" t="s">
        <v>916</v>
      </c>
      <c r="J38">
        <v>6</v>
      </c>
    </row>
    <row r="39" spans="1:10" x14ac:dyDescent="0.3">
      <c r="A39" s="2" t="s">
        <v>843</v>
      </c>
      <c r="B39">
        <v>32</v>
      </c>
      <c r="C39">
        <v>6</v>
      </c>
      <c r="I39" s="2" t="s">
        <v>911</v>
      </c>
      <c r="J39">
        <v>6</v>
      </c>
    </row>
    <row r="40" spans="1:10" x14ac:dyDescent="0.3">
      <c r="A40" s="2" t="s">
        <v>896</v>
      </c>
      <c r="B40">
        <v>32</v>
      </c>
      <c r="C40">
        <v>6</v>
      </c>
      <c r="I40" s="2" t="s">
        <v>863</v>
      </c>
      <c r="J40">
        <v>6</v>
      </c>
    </row>
    <row r="41" spans="1:10" x14ac:dyDescent="0.3">
      <c r="A41" s="2" t="s">
        <v>890</v>
      </c>
      <c r="B41">
        <v>32</v>
      </c>
      <c r="C41">
        <v>6</v>
      </c>
      <c r="I41" s="2" t="s">
        <v>853</v>
      </c>
      <c r="J41">
        <v>6</v>
      </c>
    </row>
    <row r="42" spans="1:10" x14ac:dyDescent="0.3">
      <c r="A42" s="2" t="s">
        <v>865</v>
      </c>
      <c r="B42">
        <v>30</v>
      </c>
      <c r="C42">
        <v>6</v>
      </c>
      <c r="I42" s="2" t="s">
        <v>865</v>
      </c>
      <c r="J42">
        <v>6</v>
      </c>
    </row>
    <row r="43" spans="1:10" x14ac:dyDescent="0.3">
      <c r="A43" s="2" t="s">
        <v>884</v>
      </c>
      <c r="B43">
        <v>30</v>
      </c>
      <c r="C43">
        <v>6</v>
      </c>
      <c r="I43" s="2" t="s">
        <v>907</v>
      </c>
      <c r="J43">
        <v>6</v>
      </c>
    </row>
    <row r="44" spans="1:10" x14ac:dyDescent="0.3">
      <c r="A44" s="2" t="s">
        <v>845</v>
      </c>
      <c r="B44">
        <v>29</v>
      </c>
      <c r="C44">
        <v>9</v>
      </c>
      <c r="I44" s="2" t="s">
        <v>866</v>
      </c>
      <c r="J44">
        <v>6</v>
      </c>
    </row>
    <row r="45" spans="1:10" x14ac:dyDescent="0.3">
      <c r="A45" s="2" t="s">
        <v>860</v>
      </c>
      <c r="B45">
        <v>29</v>
      </c>
      <c r="C45">
        <v>5</v>
      </c>
      <c r="I45" s="2" t="s">
        <v>849</v>
      </c>
      <c r="J45">
        <v>6</v>
      </c>
    </row>
    <row r="46" spans="1:10" x14ac:dyDescent="0.3">
      <c r="A46" s="2" t="s">
        <v>885</v>
      </c>
      <c r="B46">
        <v>29</v>
      </c>
      <c r="C46">
        <v>5</v>
      </c>
      <c r="I46" s="2" t="s">
        <v>868</v>
      </c>
      <c r="J46">
        <v>6</v>
      </c>
    </row>
    <row r="47" spans="1:10" x14ac:dyDescent="0.3">
      <c r="A47" s="2" t="s">
        <v>897</v>
      </c>
      <c r="B47">
        <v>29</v>
      </c>
      <c r="C47">
        <v>9</v>
      </c>
      <c r="I47" s="2" t="s">
        <v>918</v>
      </c>
      <c r="J47">
        <v>6</v>
      </c>
    </row>
    <row r="48" spans="1:10" x14ac:dyDescent="0.3">
      <c r="A48" s="2" t="s">
        <v>851</v>
      </c>
      <c r="B48">
        <v>28</v>
      </c>
      <c r="C48">
        <v>5</v>
      </c>
      <c r="I48" s="2" t="s">
        <v>871</v>
      </c>
      <c r="J48">
        <v>6</v>
      </c>
    </row>
    <row r="49" spans="1:10" x14ac:dyDescent="0.3">
      <c r="A49" s="2" t="s">
        <v>910</v>
      </c>
      <c r="B49">
        <v>28</v>
      </c>
      <c r="C49">
        <v>7</v>
      </c>
      <c r="I49" s="2" t="s">
        <v>926</v>
      </c>
      <c r="J49">
        <v>6</v>
      </c>
    </row>
    <row r="50" spans="1:10" x14ac:dyDescent="0.3">
      <c r="A50" s="2" t="s">
        <v>922</v>
      </c>
      <c r="B50">
        <v>27</v>
      </c>
      <c r="C50">
        <v>5</v>
      </c>
      <c r="I50" s="2" t="s">
        <v>826</v>
      </c>
      <c r="J50">
        <v>6</v>
      </c>
    </row>
    <row r="51" spans="1:10" x14ac:dyDescent="0.3">
      <c r="A51" s="2" t="s">
        <v>842</v>
      </c>
      <c r="B51">
        <v>27</v>
      </c>
      <c r="C51">
        <v>5</v>
      </c>
      <c r="I51" s="2" t="s">
        <v>855</v>
      </c>
      <c r="J51">
        <v>6</v>
      </c>
    </row>
    <row r="52" spans="1:10" x14ac:dyDescent="0.3">
      <c r="A52" s="2" t="s">
        <v>875</v>
      </c>
      <c r="B52">
        <v>27</v>
      </c>
      <c r="C52">
        <v>5</v>
      </c>
      <c r="I52" s="2" t="s">
        <v>839</v>
      </c>
      <c r="J52">
        <v>6</v>
      </c>
    </row>
    <row r="53" spans="1:10" x14ac:dyDescent="0.3">
      <c r="A53" s="2" t="s">
        <v>931</v>
      </c>
      <c r="B53">
        <v>27</v>
      </c>
      <c r="C53">
        <v>5</v>
      </c>
      <c r="I53" s="2" t="s">
        <v>846</v>
      </c>
      <c r="J53">
        <v>6</v>
      </c>
    </row>
    <row r="54" spans="1:10" x14ac:dyDescent="0.3">
      <c r="A54" s="2" t="s">
        <v>857</v>
      </c>
      <c r="B54">
        <v>27</v>
      </c>
      <c r="C54">
        <v>5</v>
      </c>
      <c r="I54" s="2" t="s">
        <v>882</v>
      </c>
      <c r="J54">
        <v>6</v>
      </c>
    </row>
    <row r="55" spans="1:10" x14ac:dyDescent="0.3">
      <c r="A55" s="2" t="s">
        <v>903</v>
      </c>
      <c r="B55">
        <v>26</v>
      </c>
      <c r="C55">
        <v>5</v>
      </c>
      <c r="I55" s="2" t="s">
        <v>825</v>
      </c>
      <c r="J55">
        <v>6</v>
      </c>
    </row>
    <row r="56" spans="1:10" x14ac:dyDescent="0.3">
      <c r="A56" s="2" t="s">
        <v>899</v>
      </c>
      <c r="B56">
        <v>25</v>
      </c>
      <c r="C56">
        <v>5</v>
      </c>
      <c r="I56" s="2" t="s">
        <v>884</v>
      </c>
      <c r="J56">
        <v>6</v>
      </c>
    </row>
    <row r="57" spans="1:10" x14ac:dyDescent="0.3">
      <c r="A57" s="2" t="s">
        <v>827</v>
      </c>
      <c r="B57">
        <v>25</v>
      </c>
      <c r="C57">
        <v>5</v>
      </c>
      <c r="I57" s="2" t="s">
        <v>915</v>
      </c>
      <c r="J57">
        <v>6</v>
      </c>
    </row>
    <row r="58" spans="1:10" x14ac:dyDescent="0.3">
      <c r="A58" s="2" t="s">
        <v>914</v>
      </c>
      <c r="B58">
        <v>25</v>
      </c>
      <c r="C58">
        <v>7</v>
      </c>
      <c r="I58" s="2" t="s">
        <v>841</v>
      </c>
      <c r="J58">
        <v>6</v>
      </c>
    </row>
    <row r="59" spans="1:10" x14ac:dyDescent="0.3">
      <c r="A59" s="2" t="s">
        <v>894</v>
      </c>
      <c r="B59">
        <v>25</v>
      </c>
      <c r="C59">
        <v>5</v>
      </c>
      <c r="I59" s="2" t="s">
        <v>917</v>
      </c>
      <c r="J59">
        <v>6</v>
      </c>
    </row>
    <row r="60" spans="1:10" x14ac:dyDescent="0.3">
      <c r="A60" s="2" t="s">
        <v>833</v>
      </c>
      <c r="B60">
        <v>25</v>
      </c>
      <c r="C60">
        <v>5</v>
      </c>
      <c r="I60" s="2" t="s">
        <v>890</v>
      </c>
      <c r="J60">
        <v>6</v>
      </c>
    </row>
    <row r="61" spans="1:10" x14ac:dyDescent="0.3">
      <c r="A61" s="2" t="s">
        <v>824</v>
      </c>
      <c r="B61">
        <v>25</v>
      </c>
      <c r="C61">
        <v>5</v>
      </c>
      <c r="I61" s="2" t="s">
        <v>852</v>
      </c>
      <c r="J61">
        <v>6</v>
      </c>
    </row>
    <row r="62" spans="1:10" x14ac:dyDescent="0.3">
      <c r="A62" s="2" t="s">
        <v>932</v>
      </c>
      <c r="B62">
        <v>24</v>
      </c>
      <c r="C62">
        <v>6</v>
      </c>
      <c r="I62" s="2" t="s">
        <v>843</v>
      </c>
      <c r="J62">
        <v>6</v>
      </c>
    </row>
    <row r="63" spans="1:10" x14ac:dyDescent="0.3">
      <c r="A63" s="2" t="s">
        <v>919</v>
      </c>
      <c r="B63">
        <v>23</v>
      </c>
      <c r="C63">
        <v>7</v>
      </c>
      <c r="I63" s="2" t="s">
        <v>854</v>
      </c>
      <c r="J63">
        <v>6</v>
      </c>
    </row>
    <row r="64" spans="1:10" x14ac:dyDescent="0.3">
      <c r="A64" s="2" t="s">
        <v>830</v>
      </c>
      <c r="B64">
        <v>23</v>
      </c>
      <c r="C64">
        <v>7</v>
      </c>
      <c r="I64" s="2" t="s">
        <v>896</v>
      </c>
      <c r="J64">
        <v>6</v>
      </c>
    </row>
    <row r="65" spans="1:10" x14ac:dyDescent="0.3">
      <c r="A65" s="2" t="s">
        <v>864</v>
      </c>
      <c r="B65">
        <v>23</v>
      </c>
      <c r="C65">
        <v>7</v>
      </c>
      <c r="I65" s="2" t="s">
        <v>929</v>
      </c>
      <c r="J65">
        <v>6</v>
      </c>
    </row>
    <row r="66" spans="1:10" x14ac:dyDescent="0.3">
      <c r="A66" s="2" t="s">
        <v>895</v>
      </c>
      <c r="B66">
        <v>22</v>
      </c>
      <c r="C66">
        <v>4</v>
      </c>
      <c r="I66" s="2" t="s">
        <v>898</v>
      </c>
      <c r="J66">
        <v>6</v>
      </c>
    </row>
    <row r="67" spans="1:10" x14ac:dyDescent="0.3">
      <c r="A67" s="2" t="s">
        <v>888</v>
      </c>
      <c r="B67">
        <v>22</v>
      </c>
      <c r="C67">
        <v>7</v>
      </c>
      <c r="I67" s="2" t="s">
        <v>932</v>
      </c>
      <c r="J67">
        <v>6</v>
      </c>
    </row>
    <row r="68" spans="1:10" x14ac:dyDescent="0.3">
      <c r="A68" s="2" t="s">
        <v>889</v>
      </c>
      <c r="B68">
        <v>22</v>
      </c>
      <c r="C68">
        <v>4</v>
      </c>
      <c r="I68" s="2" t="s">
        <v>900</v>
      </c>
      <c r="J68">
        <v>6</v>
      </c>
    </row>
    <row r="69" spans="1:10" x14ac:dyDescent="0.3">
      <c r="A69" s="2" t="s">
        <v>892</v>
      </c>
      <c r="B69">
        <v>22</v>
      </c>
      <c r="C69">
        <v>7</v>
      </c>
      <c r="I69" s="2" t="s">
        <v>831</v>
      </c>
      <c r="J69">
        <v>6</v>
      </c>
    </row>
    <row r="70" spans="1:10" x14ac:dyDescent="0.3">
      <c r="A70" s="2" t="s">
        <v>908</v>
      </c>
      <c r="B70">
        <v>22</v>
      </c>
      <c r="C70">
        <v>4</v>
      </c>
      <c r="I70" s="2" t="s">
        <v>844</v>
      </c>
      <c r="J70">
        <v>6</v>
      </c>
    </row>
    <row r="71" spans="1:10" x14ac:dyDescent="0.3">
      <c r="A71" s="2" t="s">
        <v>862</v>
      </c>
      <c r="B71">
        <v>21</v>
      </c>
      <c r="C71">
        <v>4</v>
      </c>
      <c r="I71" s="2" t="s">
        <v>859</v>
      </c>
      <c r="J71">
        <v>5</v>
      </c>
    </row>
    <row r="72" spans="1:10" x14ac:dyDescent="0.3">
      <c r="A72" s="2" t="s">
        <v>924</v>
      </c>
      <c r="B72">
        <v>21</v>
      </c>
      <c r="C72">
        <v>7</v>
      </c>
      <c r="I72" s="2" t="s">
        <v>928</v>
      </c>
      <c r="J72">
        <v>5</v>
      </c>
    </row>
    <row r="73" spans="1:10" x14ac:dyDescent="0.3">
      <c r="A73" s="2" t="s">
        <v>855</v>
      </c>
      <c r="B73">
        <v>20</v>
      </c>
      <c r="C73">
        <v>6</v>
      </c>
      <c r="I73" s="2" t="s">
        <v>922</v>
      </c>
      <c r="J73">
        <v>5</v>
      </c>
    </row>
    <row r="74" spans="1:10" x14ac:dyDescent="0.3">
      <c r="A74" s="2" t="s">
        <v>918</v>
      </c>
      <c r="B74">
        <v>20</v>
      </c>
      <c r="C74">
        <v>6</v>
      </c>
      <c r="I74" s="2" t="s">
        <v>894</v>
      </c>
      <c r="J74">
        <v>5</v>
      </c>
    </row>
    <row r="75" spans="1:10" x14ac:dyDescent="0.3">
      <c r="A75" s="2" t="s">
        <v>911</v>
      </c>
      <c r="B75">
        <v>20</v>
      </c>
      <c r="C75">
        <v>6</v>
      </c>
      <c r="I75" s="2" t="s">
        <v>827</v>
      </c>
      <c r="J75">
        <v>5</v>
      </c>
    </row>
    <row r="76" spans="1:10" x14ac:dyDescent="0.3">
      <c r="A76" s="2" t="s">
        <v>909</v>
      </c>
      <c r="B76">
        <v>20</v>
      </c>
      <c r="C76">
        <v>4</v>
      </c>
      <c r="I76" s="2" t="s">
        <v>857</v>
      </c>
      <c r="J76">
        <v>5</v>
      </c>
    </row>
    <row r="77" spans="1:10" x14ac:dyDescent="0.3">
      <c r="A77" s="2" t="s">
        <v>836</v>
      </c>
      <c r="B77">
        <v>20</v>
      </c>
      <c r="C77">
        <v>4</v>
      </c>
      <c r="I77" s="2" t="s">
        <v>851</v>
      </c>
      <c r="J77">
        <v>5</v>
      </c>
    </row>
    <row r="78" spans="1:10" x14ac:dyDescent="0.3">
      <c r="A78" s="2" t="s">
        <v>825</v>
      </c>
      <c r="B78">
        <v>19</v>
      </c>
      <c r="C78">
        <v>6</v>
      </c>
      <c r="I78" s="2" t="s">
        <v>899</v>
      </c>
      <c r="J78">
        <v>5</v>
      </c>
    </row>
    <row r="79" spans="1:10" x14ac:dyDescent="0.3">
      <c r="A79" s="2" t="s">
        <v>826</v>
      </c>
      <c r="B79">
        <v>19</v>
      </c>
      <c r="C79">
        <v>6</v>
      </c>
      <c r="I79" s="2" t="s">
        <v>860</v>
      </c>
      <c r="J79">
        <v>5</v>
      </c>
    </row>
    <row r="80" spans="1:10" x14ac:dyDescent="0.3">
      <c r="A80" s="2" t="s">
        <v>868</v>
      </c>
      <c r="B80">
        <v>19</v>
      </c>
      <c r="C80">
        <v>6</v>
      </c>
      <c r="I80" s="2" t="s">
        <v>835</v>
      </c>
      <c r="J80">
        <v>5</v>
      </c>
    </row>
    <row r="81" spans="1:10" x14ac:dyDescent="0.3">
      <c r="A81" s="2" t="s">
        <v>839</v>
      </c>
      <c r="B81">
        <v>19</v>
      </c>
      <c r="C81">
        <v>6</v>
      </c>
      <c r="I81" s="2" t="s">
        <v>842</v>
      </c>
      <c r="J81">
        <v>5</v>
      </c>
    </row>
    <row r="82" spans="1:10" x14ac:dyDescent="0.3">
      <c r="A82" s="2" t="s">
        <v>858</v>
      </c>
      <c r="B82">
        <v>19</v>
      </c>
      <c r="C82">
        <v>7</v>
      </c>
      <c r="I82" s="2" t="s">
        <v>903</v>
      </c>
      <c r="J82">
        <v>5</v>
      </c>
    </row>
    <row r="83" spans="1:10" x14ac:dyDescent="0.3">
      <c r="A83" s="2" t="s">
        <v>844</v>
      </c>
      <c r="B83">
        <v>19</v>
      </c>
      <c r="C83">
        <v>6</v>
      </c>
      <c r="I83" s="2" t="s">
        <v>824</v>
      </c>
      <c r="J83">
        <v>5</v>
      </c>
    </row>
    <row r="84" spans="1:10" x14ac:dyDescent="0.3">
      <c r="A84" s="2" t="s">
        <v>882</v>
      </c>
      <c r="B84">
        <v>19</v>
      </c>
      <c r="C84">
        <v>6</v>
      </c>
      <c r="I84" s="2" t="s">
        <v>904</v>
      </c>
      <c r="J84">
        <v>5</v>
      </c>
    </row>
    <row r="85" spans="1:10" x14ac:dyDescent="0.3">
      <c r="A85" s="2" t="s">
        <v>863</v>
      </c>
      <c r="B85">
        <v>18</v>
      </c>
      <c r="C85">
        <v>6</v>
      </c>
      <c r="I85" s="2" t="s">
        <v>850</v>
      </c>
      <c r="J85">
        <v>5</v>
      </c>
    </row>
    <row r="86" spans="1:10" x14ac:dyDescent="0.3">
      <c r="A86" s="2" t="s">
        <v>831</v>
      </c>
      <c r="B86">
        <v>18</v>
      </c>
      <c r="C86">
        <v>6</v>
      </c>
      <c r="I86" s="2" t="s">
        <v>905</v>
      </c>
      <c r="J86">
        <v>5</v>
      </c>
    </row>
    <row r="87" spans="1:10" x14ac:dyDescent="0.3">
      <c r="A87" s="2" t="s">
        <v>898</v>
      </c>
      <c r="B87">
        <v>18</v>
      </c>
      <c r="C87">
        <v>6</v>
      </c>
      <c r="I87" s="2" t="s">
        <v>883</v>
      </c>
      <c r="J87">
        <v>5</v>
      </c>
    </row>
    <row r="88" spans="1:10" x14ac:dyDescent="0.3">
      <c r="A88" s="2" t="s">
        <v>915</v>
      </c>
      <c r="B88">
        <v>18</v>
      </c>
      <c r="C88">
        <v>6</v>
      </c>
      <c r="I88" s="2" t="s">
        <v>873</v>
      </c>
      <c r="J88">
        <v>5</v>
      </c>
    </row>
    <row r="89" spans="1:10" x14ac:dyDescent="0.3">
      <c r="A89" s="2" t="s">
        <v>854</v>
      </c>
      <c r="B89">
        <v>18</v>
      </c>
      <c r="C89">
        <v>6</v>
      </c>
      <c r="I89" s="2" t="s">
        <v>923</v>
      </c>
      <c r="J89">
        <v>5</v>
      </c>
    </row>
    <row r="90" spans="1:10" x14ac:dyDescent="0.3">
      <c r="A90" s="2" t="s">
        <v>880</v>
      </c>
      <c r="B90">
        <v>17</v>
      </c>
      <c r="C90">
        <v>3</v>
      </c>
      <c r="I90" s="2" t="s">
        <v>875</v>
      </c>
      <c r="J90">
        <v>5</v>
      </c>
    </row>
    <row r="91" spans="1:10" x14ac:dyDescent="0.3">
      <c r="A91" s="2" t="s">
        <v>849</v>
      </c>
      <c r="B91">
        <v>17</v>
      </c>
      <c r="C91">
        <v>6</v>
      </c>
      <c r="I91" s="2" t="s">
        <v>885</v>
      </c>
      <c r="J91">
        <v>5</v>
      </c>
    </row>
    <row r="92" spans="1:10" x14ac:dyDescent="0.3">
      <c r="A92" s="2" t="s">
        <v>886</v>
      </c>
      <c r="B92">
        <v>17</v>
      </c>
      <c r="C92">
        <v>3</v>
      </c>
      <c r="I92" s="2" t="s">
        <v>877</v>
      </c>
      <c r="J92">
        <v>5</v>
      </c>
    </row>
    <row r="93" spans="1:10" x14ac:dyDescent="0.3">
      <c r="A93" s="2" t="s">
        <v>835</v>
      </c>
      <c r="B93">
        <v>17</v>
      </c>
      <c r="C93">
        <v>5</v>
      </c>
      <c r="I93" s="2" t="s">
        <v>931</v>
      </c>
      <c r="J93">
        <v>5</v>
      </c>
    </row>
    <row r="94" spans="1:10" x14ac:dyDescent="0.3">
      <c r="A94" s="2" t="s">
        <v>905</v>
      </c>
      <c r="B94">
        <v>16</v>
      </c>
      <c r="C94">
        <v>5</v>
      </c>
      <c r="I94" s="2" t="s">
        <v>833</v>
      </c>
      <c r="J94">
        <v>5</v>
      </c>
    </row>
    <row r="95" spans="1:10" x14ac:dyDescent="0.3">
      <c r="A95" s="2" t="s">
        <v>850</v>
      </c>
      <c r="B95">
        <v>16</v>
      </c>
      <c r="C95">
        <v>5</v>
      </c>
      <c r="I95" s="2" t="s">
        <v>878</v>
      </c>
      <c r="J95">
        <v>5</v>
      </c>
    </row>
    <row r="96" spans="1:10" x14ac:dyDescent="0.3">
      <c r="A96" s="2" t="s">
        <v>877</v>
      </c>
      <c r="B96">
        <v>16</v>
      </c>
      <c r="C96">
        <v>5</v>
      </c>
      <c r="I96" s="2" t="s">
        <v>834</v>
      </c>
      <c r="J96">
        <v>4</v>
      </c>
    </row>
    <row r="97" spans="1:10" x14ac:dyDescent="0.3">
      <c r="A97" s="2" t="s">
        <v>873</v>
      </c>
      <c r="B97">
        <v>16</v>
      </c>
      <c r="C97">
        <v>5</v>
      </c>
      <c r="I97" s="2" t="s">
        <v>909</v>
      </c>
      <c r="J97">
        <v>4</v>
      </c>
    </row>
    <row r="98" spans="1:10" x14ac:dyDescent="0.3">
      <c r="A98" s="2" t="s">
        <v>923</v>
      </c>
      <c r="B98">
        <v>16</v>
      </c>
      <c r="C98">
        <v>5</v>
      </c>
      <c r="I98" s="2" t="s">
        <v>893</v>
      </c>
      <c r="J98">
        <v>4</v>
      </c>
    </row>
    <row r="99" spans="1:10" x14ac:dyDescent="0.3">
      <c r="A99" s="2" t="s">
        <v>878</v>
      </c>
      <c r="B99">
        <v>16</v>
      </c>
      <c r="C99">
        <v>5</v>
      </c>
      <c r="I99" s="2" t="s">
        <v>862</v>
      </c>
      <c r="J99">
        <v>4</v>
      </c>
    </row>
    <row r="100" spans="1:10" x14ac:dyDescent="0.3">
      <c r="A100" s="2" t="s">
        <v>928</v>
      </c>
      <c r="B100">
        <v>15</v>
      </c>
      <c r="C100">
        <v>5</v>
      </c>
      <c r="I100" s="2" t="s">
        <v>895</v>
      </c>
      <c r="J100">
        <v>4</v>
      </c>
    </row>
    <row r="101" spans="1:10" x14ac:dyDescent="0.3">
      <c r="A101" s="2" t="s">
        <v>859</v>
      </c>
      <c r="B101">
        <v>15</v>
      </c>
      <c r="C101">
        <v>5</v>
      </c>
      <c r="I101" s="2" t="s">
        <v>869</v>
      </c>
      <c r="J101">
        <v>4</v>
      </c>
    </row>
    <row r="102" spans="1:10" x14ac:dyDescent="0.3">
      <c r="A102" s="2" t="s">
        <v>883</v>
      </c>
      <c r="B102">
        <v>15</v>
      </c>
      <c r="C102">
        <v>5</v>
      </c>
      <c r="I102" s="2" t="s">
        <v>901</v>
      </c>
      <c r="J102">
        <v>4</v>
      </c>
    </row>
    <row r="103" spans="1:10" x14ac:dyDescent="0.3">
      <c r="A103" s="2" t="s">
        <v>874</v>
      </c>
      <c r="B103">
        <v>13</v>
      </c>
      <c r="C103">
        <v>4</v>
      </c>
      <c r="I103" s="2" t="s">
        <v>874</v>
      </c>
      <c r="J103">
        <v>4</v>
      </c>
    </row>
    <row r="104" spans="1:10" x14ac:dyDescent="0.3">
      <c r="A104" s="2" t="s">
        <v>893</v>
      </c>
      <c r="B104">
        <v>13</v>
      </c>
      <c r="C104">
        <v>4</v>
      </c>
      <c r="I104" s="2" t="s">
        <v>889</v>
      </c>
      <c r="J104">
        <v>4</v>
      </c>
    </row>
    <row r="105" spans="1:10" x14ac:dyDescent="0.3">
      <c r="A105" s="2" t="s">
        <v>869</v>
      </c>
      <c r="B105">
        <v>13</v>
      </c>
      <c r="C105">
        <v>4</v>
      </c>
      <c r="I105" s="2" t="s">
        <v>908</v>
      </c>
      <c r="J105">
        <v>4</v>
      </c>
    </row>
    <row r="106" spans="1:10" x14ac:dyDescent="0.3">
      <c r="A106" s="2" t="s">
        <v>904</v>
      </c>
      <c r="B106">
        <v>12</v>
      </c>
      <c r="C106">
        <v>5</v>
      </c>
      <c r="I106" s="2" t="s">
        <v>836</v>
      </c>
      <c r="J106">
        <v>4</v>
      </c>
    </row>
    <row r="107" spans="1:10" x14ac:dyDescent="0.3">
      <c r="A107" s="2" t="s">
        <v>901</v>
      </c>
      <c r="B107">
        <v>12</v>
      </c>
      <c r="C107">
        <v>4</v>
      </c>
      <c r="I107" s="2" t="s">
        <v>886</v>
      </c>
      <c r="J107">
        <v>3</v>
      </c>
    </row>
    <row r="108" spans="1:10" x14ac:dyDescent="0.3">
      <c r="A108" s="2" t="s">
        <v>935</v>
      </c>
      <c r="B108">
        <v>12</v>
      </c>
      <c r="C108">
        <v>2</v>
      </c>
      <c r="I108" s="2" t="s">
        <v>902</v>
      </c>
      <c r="J108">
        <v>3</v>
      </c>
    </row>
    <row r="109" spans="1:10" x14ac:dyDescent="0.3">
      <c r="A109" s="2" t="s">
        <v>834</v>
      </c>
      <c r="B109">
        <v>12</v>
      </c>
      <c r="C109">
        <v>4</v>
      </c>
      <c r="I109" s="2" t="s">
        <v>880</v>
      </c>
      <c r="J109">
        <v>3</v>
      </c>
    </row>
    <row r="110" spans="1:10" x14ac:dyDescent="0.3">
      <c r="A110" s="2" t="s">
        <v>902</v>
      </c>
      <c r="B110">
        <v>11</v>
      </c>
      <c r="C110">
        <v>3</v>
      </c>
      <c r="I110" s="2" t="s">
        <v>887</v>
      </c>
      <c r="J110">
        <v>3</v>
      </c>
    </row>
    <row r="111" spans="1:10" x14ac:dyDescent="0.3">
      <c r="A111" s="2" t="s">
        <v>867</v>
      </c>
      <c r="B111">
        <v>10</v>
      </c>
      <c r="C111">
        <v>2</v>
      </c>
      <c r="I111" s="2" t="s">
        <v>927</v>
      </c>
      <c r="J111">
        <v>3</v>
      </c>
    </row>
    <row r="112" spans="1:10" x14ac:dyDescent="0.3">
      <c r="A112" s="2" t="s">
        <v>927</v>
      </c>
      <c r="B112">
        <v>10</v>
      </c>
      <c r="C112">
        <v>3</v>
      </c>
      <c r="I112" s="2" t="s">
        <v>867</v>
      </c>
      <c r="J112">
        <v>2</v>
      </c>
    </row>
    <row r="113" spans="1:10" x14ac:dyDescent="0.3">
      <c r="A113" s="2" t="s">
        <v>887</v>
      </c>
      <c r="B113">
        <v>9</v>
      </c>
      <c r="C113">
        <v>3</v>
      </c>
      <c r="I113" s="2" t="s">
        <v>938</v>
      </c>
      <c r="J113">
        <v>2</v>
      </c>
    </row>
    <row r="114" spans="1:10" x14ac:dyDescent="0.3">
      <c r="A114" s="2" t="s">
        <v>861</v>
      </c>
      <c r="B114">
        <v>5</v>
      </c>
      <c r="C114">
        <v>1</v>
      </c>
      <c r="I114" s="2" t="s">
        <v>935</v>
      </c>
      <c r="J114">
        <v>2</v>
      </c>
    </row>
    <row r="115" spans="1:10" x14ac:dyDescent="0.3">
      <c r="A115" s="2" t="s">
        <v>837</v>
      </c>
      <c r="B115">
        <v>5</v>
      </c>
      <c r="C115">
        <v>1</v>
      </c>
      <c r="I115" s="2" t="s">
        <v>837</v>
      </c>
      <c r="J115">
        <v>1</v>
      </c>
    </row>
    <row r="116" spans="1:10" x14ac:dyDescent="0.3">
      <c r="A116" s="2" t="s">
        <v>938</v>
      </c>
      <c r="B116">
        <v>4</v>
      </c>
      <c r="C116">
        <v>2</v>
      </c>
      <c r="I116" s="2" t="s">
        <v>937</v>
      </c>
      <c r="J116">
        <v>1</v>
      </c>
    </row>
    <row r="117" spans="1:10" x14ac:dyDescent="0.3">
      <c r="A117" s="2" t="s">
        <v>936</v>
      </c>
      <c r="B117">
        <v>2</v>
      </c>
      <c r="C117">
        <v>1</v>
      </c>
      <c r="I117" s="2" t="s">
        <v>861</v>
      </c>
      <c r="J117">
        <v>1</v>
      </c>
    </row>
    <row r="118" spans="1:10" x14ac:dyDescent="0.3">
      <c r="A118" s="2" t="s">
        <v>937</v>
      </c>
      <c r="B118">
        <v>2</v>
      </c>
      <c r="C118">
        <v>1</v>
      </c>
      <c r="I118" s="2" t="s">
        <v>936</v>
      </c>
      <c r="J118">
        <v>1</v>
      </c>
    </row>
    <row r="119" spans="1:10" x14ac:dyDescent="0.3">
      <c r="A119" s="2" t="s">
        <v>287</v>
      </c>
      <c r="B119">
        <v>2863</v>
      </c>
      <c r="C119">
        <v>647</v>
      </c>
      <c r="I119" s="2" t="s">
        <v>287</v>
      </c>
      <c r="J119">
        <v>647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1F9E9-BDC7-4768-840D-1583E0128C18}">
  <dimension ref="A3:H11"/>
  <sheetViews>
    <sheetView workbookViewId="0">
      <selection activeCell="B5" sqref="B5"/>
    </sheetView>
  </sheetViews>
  <sheetFormatPr defaultRowHeight="14.4" x14ac:dyDescent="0.3"/>
  <cols>
    <col min="1" max="1" width="12.44140625" bestFit="1" customWidth="1"/>
    <col min="2" max="2" width="22" bestFit="1" customWidth="1"/>
    <col min="3" max="3" width="20.77734375" bestFit="1" customWidth="1"/>
    <col min="4" max="4" width="14.77734375" bestFit="1" customWidth="1"/>
  </cols>
  <sheetData>
    <row r="3" spans="1:8" x14ac:dyDescent="0.3">
      <c r="A3" s="1" t="s">
        <v>286</v>
      </c>
      <c r="B3" t="s">
        <v>940</v>
      </c>
      <c r="C3" t="s">
        <v>939</v>
      </c>
    </row>
    <row r="4" spans="1:8" x14ac:dyDescent="0.3">
      <c r="A4" s="2" t="s">
        <v>197</v>
      </c>
      <c r="B4">
        <v>77</v>
      </c>
      <c r="C4">
        <v>327</v>
      </c>
      <c r="F4" s="5"/>
      <c r="H4">
        <f>$B$5/$B$4</f>
        <v>1.5844155844155845</v>
      </c>
    </row>
    <row r="5" spans="1:8" x14ac:dyDescent="0.3">
      <c r="A5" s="2" t="s">
        <v>205</v>
      </c>
      <c r="B5">
        <v>122</v>
      </c>
      <c r="C5">
        <v>543</v>
      </c>
    </row>
    <row r="6" spans="1:8" x14ac:dyDescent="0.3">
      <c r="A6" s="2" t="s">
        <v>8</v>
      </c>
      <c r="B6">
        <v>98</v>
      </c>
      <c r="C6">
        <v>426</v>
      </c>
    </row>
    <row r="7" spans="1:8" x14ac:dyDescent="0.3">
      <c r="A7" s="2" t="s">
        <v>104</v>
      </c>
      <c r="B7">
        <v>113</v>
      </c>
      <c r="C7">
        <v>513</v>
      </c>
    </row>
    <row r="8" spans="1:8" x14ac:dyDescent="0.3">
      <c r="A8" s="2" t="s">
        <v>147</v>
      </c>
      <c r="B8">
        <v>83</v>
      </c>
      <c r="C8">
        <v>335</v>
      </c>
    </row>
    <row r="9" spans="1:8" x14ac:dyDescent="0.3">
      <c r="A9" s="2" t="s">
        <v>164</v>
      </c>
      <c r="B9">
        <v>93</v>
      </c>
      <c r="C9">
        <v>424</v>
      </c>
    </row>
    <row r="10" spans="1:8" x14ac:dyDescent="0.3">
      <c r="A10" s="2" t="s">
        <v>183</v>
      </c>
      <c r="B10">
        <v>61</v>
      </c>
      <c r="C10">
        <v>295</v>
      </c>
    </row>
    <row r="11" spans="1:8" x14ac:dyDescent="0.3">
      <c r="A11" s="2" t="s">
        <v>287</v>
      </c>
      <c r="B11">
        <v>647</v>
      </c>
      <c r="C11">
        <v>2863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A161C-8930-46C9-AEC7-9B7382963C22}">
  <sheetPr codeName="Sheet8"/>
  <dimension ref="A1:L648"/>
  <sheetViews>
    <sheetView workbookViewId="0">
      <selection activeCell="M6" sqref="M6"/>
    </sheetView>
  </sheetViews>
  <sheetFormatPr defaultRowHeight="14.4" x14ac:dyDescent="0.3"/>
  <cols>
    <col min="1" max="1" width="8.33203125" bestFit="1" customWidth="1"/>
    <col min="2" max="2" width="10.33203125" bestFit="1" customWidth="1"/>
    <col min="3" max="3" width="14.44140625" bestFit="1" customWidth="1"/>
    <col min="4" max="4" width="17.33203125" bestFit="1" customWidth="1"/>
    <col min="5" max="5" width="15.21875" bestFit="1" customWidth="1"/>
    <col min="6" max="6" width="8" bestFit="1" customWidth="1"/>
    <col min="7" max="7" width="8.88671875" bestFit="1" customWidth="1"/>
    <col min="8" max="8" width="17" bestFit="1" customWidth="1"/>
    <col min="9" max="9" width="16.88671875" bestFit="1" customWidth="1"/>
    <col min="10" max="10" width="25" bestFit="1" customWidth="1"/>
    <col min="11" max="12" width="10.6640625" bestFit="1" customWidth="1"/>
    <col min="13" max="13" width="25" bestFit="1" customWidth="1"/>
  </cols>
  <sheetData>
    <row r="1" spans="1:12" x14ac:dyDescent="0.3">
      <c r="A1" t="s">
        <v>0</v>
      </c>
      <c r="B1" t="s">
        <v>1</v>
      </c>
      <c r="C1" t="s">
        <v>813</v>
      </c>
      <c r="D1" t="s">
        <v>2</v>
      </c>
      <c r="E1" t="s">
        <v>3</v>
      </c>
      <c r="F1" t="s">
        <v>291</v>
      </c>
      <c r="G1" t="s">
        <v>4</v>
      </c>
      <c r="H1" t="s">
        <v>5</v>
      </c>
      <c r="I1" t="s">
        <v>6</v>
      </c>
      <c r="J1" t="s">
        <v>7</v>
      </c>
      <c r="K1" t="s">
        <v>941</v>
      </c>
      <c r="L1" t="s">
        <v>942</v>
      </c>
    </row>
    <row r="2" spans="1:12" x14ac:dyDescent="0.3">
      <c r="A2" t="s">
        <v>8</v>
      </c>
      <c r="B2" s="3">
        <v>46239</v>
      </c>
      <c r="C2" t="s">
        <v>812</v>
      </c>
      <c r="D2" t="s">
        <v>9</v>
      </c>
      <c r="E2" t="s">
        <v>10</v>
      </c>
      <c r="F2" t="s">
        <v>292</v>
      </c>
      <c r="G2" t="s">
        <v>217</v>
      </c>
      <c r="H2" t="s">
        <v>11</v>
      </c>
      <c r="I2">
        <v>5</v>
      </c>
      <c r="J2" t="s">
        <v>12</v>
      </c>
      <c r="K2">
        <f t="shared" ref="K2:K65" si="0">COUNTIF($D$2:$D$700,D2)</f>
        <v>5</v>
      </c>
      <c r="L2" cm="1">
        <f t="array" ref="L2">IFERROR(SUMPRODUCT((COUNTIF($D$2:$D$648,$D$2:$D$648)&gt;COUNTIF($D$2:$D$648,D2))/COUNTIF($D$2:$D$648,$D$2:$D$648))+1,"")</f>
        <v>43.000000000000199</v>
      </c>
    </row>
    <row r="3" spans="1:12" x14ac:dyDescent="0.3">
      <c r="A3" t="s">
        <v>8</v>
      </c>
      <c r="B3" s="3">
        <v>46239</v>
      </c>
      <c r="C3" t="s">
        <v>812</v>
      </c>
      <c r="D3" t="s">
        <v>13</v>
      </c>
      <c r="E3" t="s">
        <v>14</v>
      </c>
      <c r="F3" t="s">
        <v>362</v>
      </c>
      <c r="G3" t="s">
        <v>218</v>
      </c>
      <c r="H3" t="s">
        <v>11</v>
      </c>
      <c r="I3">
        <v>7</v>
      </c>
      <c r="J3" t="s">
        <v>15</v>
      </c>
      <c r="K3">
        <f t="shared" si="0"/>
        <v>47</v>
      </c>
      <c r="L3" cm="1">
        <f t="array" ref="L3">IFERROR(SUMPRODUCT((COUNTIF($D$2:$D$648,$D$2:$D$648)&gt;COUNTIF($D$2:$D$648,D3))/COUNTIF($D$2:$D$648,$D$2:$D$648))+1,"")</f>
        <v>1</v>
      </c>
    </row>
    <row r="4" spans="1:12" x14ac:dyDescent="0.3">
      <c r="A4" t="s">
        <v>8</v>
      </c>
      <c r="B4" s="3">
        <v>46239</v>
      </c>
      <c r="C4" t="s">
        <v>812</v>
      </c>
      <c r="D4" t="s">
        <v>16</v>
      </c>
      <c r="E4" t="s">
        <v>17</v>
      </c>
      <c r="G4" t="s">
        <v>219</v>
      </c>
      <c r="H4" t="s">
        <v>11</v>
      </c>
      <c r="I4">
        <v>5</v>
      </c>
      <c r="J4" t="s">
        <v>18</v>
      </c>
      <c r="K4">
        <f t="shared" si="0"/>
        <v>10</v>
      </c>
      <c r="L4" cm="1">
        <f t="array" ref="L4">IFERROR(SUMPRODUCT((COUNTIF($D$2:$D$648,$D$2:$D$648)&gt;COUNTIF($D$2:$D$648,D4))/COUNTIF($D$2:$D$648,$D$2:$D$648))+1,"")</f>
        <v>17.999999999999975</v>
      </c>
    </row>
    <row r="5" spans="1:12" x14ac:dyDescent="0.3">
      <c r="A5" t="s">
        <v>8</v>
      </c>
      <c r="B5" s="3">
        <v>46239</v>
      </c>
      <c r="C5" t="s">
        <v>812</v>
      </c>
      <c r="D5" t="s">
        <v>19</v>
      </c>
      <c r="E5" t="s">
        <v>20</v>
      </c>
      <c r="G5" t="s">
        <v>220</v>
      </c>
      <c r="H5" t="s">
        <v>11</v>
      </c>
      <c r="I5">
        <v>5</v>
      </c>
      <c r="J5" t="s">
        <v>21</v>
      </c>
      <c r="K5">
        <f t="shared" si="0"/>
        <v>8</v>
      </c>
      <c r="L5" cm="1">
        <f t="array" ref="L5">IFERROR(SUMPRODUCT((COUNTIF($D$2:$D$648,$D$2:$D$648)&gt;COUNTIF($D$2:$D$648,D5))/COUNTIF($D$2:$D$648,$D$2:$D$648))+1,"")</f>
        <v>24.999999999999957</v>
      </c>
    </row>
    <row r="6" spans="1:12" x14ac:dyDescent="0.3">
      <c r="A6" t="s">
        <v>8</v>
      </c>
      <c r="B6" s="3">
        <v>46239</v>
      </c>
      <c r="C6" t="s">
        <v>812</v>
      </c>
      <c r="D6" t="s">
        <v>22</v>
      </c>
      <c r="E6" t="s">
        <v>23</v>
      </c>
      <c r="G6" t="s">
        <v>221</v>
      </c>
      <c r="H6" t="s">
        <v>11</v>
      </c>
      <c r="I6">
        <v>5</v>
      </c>
      <c r="J6" t="s">
        <v>24</v>
      </c>
      <c r="K6">
        <f t="shared" si="0"/>
        <v>2</v>
      </c>
      <c r="L6" cm="1">
        <f t="array" ref="L6">IFERROR(SUMPRODUCT((COUNTIF($D$2:$D$648,$D$2:$D$648)&gt;COUNTIF($D$2:$D$648,D6))/COUNTIF($D$2:$D$648,$D$2:$D$648))+1,"")</f>
        <v>65.000000000000426</v>
      </c>
    </row>
    <row r="7" spans="1:12" x14ac:dyDescent="0.3">
      <c r="A7" t="s">
        <v>8</v>
      </c>
      <c r="B7" s="3">
        <v>46240</v>
      </c>
      <c r="C7" t="s">
        <v>814</v>
      </c>
      <c r="D7" t="s">
        <v>25</v>
      </c>
      <c r="E7" t="s">
        <v>26</v>
      </c>
      <c r="F7" t="s">
        <v>293</v>
      </c>
      <c r="G7" t="s">
        <v>222</v>
      </c>
      <c r="H7" t="s">
        <v>27</v>
      </c>
      <c r="I7">
        <v>3</v>
      </c>
      <c r="J7" t="s">
        <v>28</v>
      </c>
      <c r="K7">
        <f t="shared" si="0"/>
        <v>1</v>
      </c>
      <c r="L7" cm="1">
        <f t="array" ref="L7">IFERROR(SUMPRODUCT((COUNTIF($D$2:$D$648,$D$2:$D$648)&gt;COUNTIF($D$2:$D$648,D7))/COUNTIF($D$2:$D$648,$D$2:$D$648))+1,"")</f>
        <v>80.000000000000426</v>
      </c>
    </row>
    <row r="8" spans="1:12" x14ac:dyDescent="0.3">
      <c r="A8" t="s">
        <v>8</v>
      </c>
      <c r="B8" s="3">
        <v>46240</v>
      </c>
      <c r="C8" t="s">
        <v>814</v>
      </c>
      <c r="D8" t="s">
        <v>16</v>
      </c>
      <c r="E8" t="s">
        <v>23</v>
      </c>
      <c r="G8" t="s">
        <v>219</v>
      </c>
      <c r="H8" t="s">
        <v>27</v>
      </c>
      <c r="I8">
        <v>3</v>
      </c>
      <c r="J8" t="s">
        <v>28</v>
      </c>
      <c r="K8">
        <f t="shared" si="0"/>
        <v>10</v>
      </c>
      <c r="L8" cm="1">
        <f t="array" ref="L8">IFERROR(SUMPRODUCT((COUNTIF($D$2:$D$648,$D$2:$D$648)&gt;COUNTIF($D$2:$D$648,D8))/COUNTIF($D$2:$D$648,$D$2:$D$648))+1,"")</f>
        <v>17.999999999999975</v>
      </c>
    </row>
    <row r="9" spans="1:12" x14ac:dyDescent="0.3">
      <c r="A9" t="s">
        <v>8</v>
      </c>
      <c r="B9" s="3">
        <v>46240</v>
      </c>
      <c r="C9" t="s">
        <v>814</v>
      </c>
      <c r="D9" t="s">
        <v>19</v>
      </c>
      <c r="E9" t="s">
        <v>17</v>
      </c>
      <c r="G9" t="s">
        <v>220</v>
      </c>
      <c r="H9" t="s">
        <v>27</v>
      </c>
      <c r="I9">
        <v>3</v>
      </c>
      <c r="J9" t="s">
        <v>28</v>
      </c>
      <c r="K9">
        <f t="shared" si="0"/>
        <v>8</v>
      </c>
      <c r="L9" cm="1">
        <f t="array" ref="L9">IFERROR(SUMPRODUCT((COUNTIF($D$2:$D$648,$D$2:$D$648)&gt;COUNTIF($D$2:$D$648,D9))/COUNTIF($D$2:$D$648,$D$2:$D$648))+1,"")</f>
        <v>24.999999999999957</v>
      </c>
    </row>
    <row r="10" spans="1:12" x14ac:dyDescent="0.3">
      <c r="A10" t="s">
        <v>8</v>
      </c>
      <c r="B10" s="3">
        <v>46240</v>
      </c>
      <c r="C10" t="s">
        <v>814</v>
      </c>
      <c r="D10" t="s">
        <v>9</v>
      </c>
      <c r="E10" t="s">
        <v>20</v>
      </c>
      <c r="F10" t="s">
        <v>363</v>
      </c>
      <c r="G10" t="s">
        <v>217</v>
      </c>
      <c r="H10" t="s">
        <v>11</v>
      </c>
      <c r="I10">
        <v>3</v>
      </c>
      <c r="J10" t="s">
        <v>29</v>
      </c>
      <c r="K10">
        <f t="shared" si="0"/>
        <v>5</v>
      </c>
      <c r="L10" cm="1">
        <f t="array" ref="L10">IFERROR(SUMPRODUCT((COUNTIF($D$2:$D$648,$D$2:$D$648)&gt;COUNTIF($D$2:$D$648,D10))/COUNTIF($D$2:$D$648,$D$2:$D$648))+1,"")</f>
        <v>43.000000000000199</v>
      </c>
    </row>
    <row r="11" spans="1:12" x14ac:dyDescent="0.3">
      <c r="A11" t="s">
        <v>8</v>
      </c>
      <c r="B11" s="3">
        <v>46240</v>
      </c>
      <c r="C11" t="s">
        <v>814</v>
      </c>
      <c r="D11" t="s">
        <v>13</v>
      </c>
      <c r="E11" t="s">
        <v>23</v>
      </c>
      <c r="F11" t="s">
        <v>362</v>
      </c>
      <c r="G11" t="s">
        <v>218</v>
      </c>
      <c r="H11" t="s">
        <v>11</v>
      </c>
      <c r="I11">
        <v>4</v>
      </c>
      <c r="J11" t="s">
        <v>30</v>
      </c>
      <c r="K11">
        <f t="shared" si="0"/>
        <v>47</v>
      </c>
      <c r="L11" cm="1">
        <f t="array" ref="L11">IFERROR(SUMPRODUCT((COUNTIF($D$2:$D$648,$D$2:$D$648)&gt;COUNTIF($D$2:$D$648,D11))/COUNTIF($D$2:$D$648,$D$2:$D$648))+1,"")</f>
        <v>1</v>
      </c>
    </row>
    <row r="12" spans="1:12" x14ac:dyDescent="0.3">
      <c r="A12" t="s">
        <v>8</v>
      </c>
      <c r="B12" s="3">
        <v>46240</v>
      </c>
      <c r="C12" t="s">
        <v>814</v>
      </c>
      <c r="D12" t="s">
        <v>31</v>
      </c>
      <c r="E12" t="s">
        <v>14</v>
      </c>
      <c r="F12" t="s">
        <v>364</v>
      </c>
      <c r="G12" t="s">
        <v>223</v>
      </c>
      <c r="H12" t="s">
        <v>11</v>
      </c>
      <c r="I12">
        <v>2</v>
      </c>
      <c r="J12" t="s">
        <v>32</v>
      </c>
      <c r="K12">
        <f t="shared" si="0"/>
        <v>6</v>
      </c>
      <c r="L12" cm="1">
        <f t="array" ref="L12">IFERROR(SUMPRODUCT((COUNTIF($D$2:$D$648,$D$2:$D$648)&gt;COUNTIF($D$2:$D$648,D12))/COUNTIF($D$2:$D$648,$D$2:$D$648))+1,"")</f>
        <v>39.000000000000114</v>
      </c>
    </row>
    <row r="13" spans="1:12" x14ac:dyDescent="0.3">
      <c r="A13" t="s">
        <v>8</v>
      </c>
      <c r="B13" s="3">
        <v>46240</v>
      </c>
      <c r="C13" t="s">
        <v>814</v>
      </c>
      <c r="D13" t="s">
        <v>33</v>
      </c>
      <c r="E13" t="s">
        <v>14</v>
      </c>
      <c r="G13" t="s">
        <v>224</v>
      </c>
      <c r="H13" t="s">
        <v>11</v>
      </c>
      <c r="I13">
        <v>1</v>
      </c>
      <c r="J13" t="s">
        <v>34</v>
      </c>
      <c r="K13">
        <f t="shared" si="0"/>
        <v>10</v>
      </c>
      <c r="L13" cm="1">
        <f t="array" ref="L13">IFERROR(SUMPRODUCT((COUNTIF($D$2:$D$648,$D$2:$D$648)&gt;COUNTIF($D$2:$D$648,D13))/COUNTIF($D$2:$D$648,$D$2:$D$648))+1,"")</f>
        <v>17.999999999999975</v>
      </c>
    </row>
    <row r="14" spans="1:12" x14ac:dyDescent="0.3">
      <c r="A14" t="s">
        <v>8</v>
      </c>
      <c r="B14" s="3">
        <v>46241</v>
      </c>
      <c r="C14" t="s">
        <v>817</v>
      </c>
      <c r="D14" t="s">
        <v>19</v>
      </c>
      <c r="E14" t="s">
        <v>23</v>
      </c>
      <c r="G14" t="s">
        <v>220</v>
      </c>
      <c r="H14" t="s">
        <v>27</v>
      </c>
      <c r="I14">
        <v>3</v>
      </c>
      <c r="J14" t="s">
        <v>35</v>
      </c>
      <c r="K14">
        <f t="shared" si="0"/>
        <v>8</v>
      </c>
      <c r="L14" cm="1">
        <f t="array" ref="L14">IFERROR(SUMPRODUCT((COUNTIF($D$2:$D$648,$D$2:$D$648)&gt;COUNTIF($D$2:$D$648,D14))/COUNTIF($D$2:$D$648,$D$2:$D$648))+1,"")</f>
        <v>24.999999999999957</v>
      </c>
    </row>
    <row r="15" spans="1:12" x14ac:dyDescent="0.3">
      <c r="A15" t="s">
        <v>8</v>
      </c>
      <c r="B15" s="3">
        <v>46241</v>
      </c>
      <c r="C15" t="s">
        <v>817</v>
      </c>
      <c r="D15" t="s">
        <v>9</v>
      </c>
      <c r="E15" t="s">
        <v>36</v>
      </c>
      <c r="F15" t="s">
        <v>294</v>
      </c>
      <c r="G15" t="s">
        <v>217</v>
      </c>
      <c r="H15" t="s">
        <v>11</v>
      </c>
      <c r="I15">
        <v>3</v>
      </c>
      <c r="J15" t="s">
        <v>37</v>
      </c>
      <c r="K15">
        <f t="shared" si="0"/>
        <v>5</v>
      </c>
      <c r="L15" cm="1">
        <f t="array" ref="L15">IFERROR(SUMPRODUCT((COUNTIF($D$2:$D$648,$D$2:$D$648)&gt;COUNTIF($D$2:$D$648,D15))/COUNTIF($D$2:$D$648,$D$2:$D$648))+1,"")</f>
        <v>43.000000000000199</v>
      </c>
    </row>
    <row r="16" spans="1:12" x14ac:dyDescent="0.3">
      <c r="A16" t="s">
        <v>8</v>
      </c>
      <c r="B16" s="3">
        <v>46241</v>
      </c>
      <c r="C16" t="s">
        <v>817</v>
      </c>
      <c r="D16" t="s">
        <v>13</v>
      </c>
      <c r="E16" t="s">
        <v>23</v>
      </c>
      <c r="F16" t="s">
        <v>362</v>
      </c>
      <c r="G16" t="s">
        <v>218</v>
      </c>
      <c r="H16" t="s">
        <v>11</v>
      </c>
      <c r="I16">
        <v>3</v>
      </c>
      <c r="J16" t="s">
        <v>38</v>
      </c>
      <c r="K16">
        <f t="shared" si="0"/>
        <v>47</v>
      </c>
      <c r="L16" cm="1">
        <f t="array" ref="L16">IFERROR(SUMPRODUCT((COUNTIF($D$2:$D$648,$D$2:$D$648)&gt;COUNTIF($D$2:$D$648,D16))/COUNTIF($D$2:$D$648,$D$2:$D$648))+1,"")</f>
        <v>1</v>
      </c>
    </row>
    <row r="17" spans="1:12" x14ac:dyDescent="0.3">
      <c r="A17" t="s">
        <v>8</v>
      </c>
      <c r="B17" s="3">
        <v>46241</v>
      </c>
      <c r="C17" t="s">
        <v>817</v>
      </c>
      <c r="D17" t="s">
        <v>31</v>
      </c>
      <c r="E17" t="s">
        <v>39</v>
      </c>
      <c r="F17" t="s">
        <v>295</v>
      </c>
      <c r="G17" t="s">
        <v>223</v>
      </c>
      <c r="H17" t="s">
        <v>11</v>
      </c>
      <c r="I17">
        <v>4</v>
      </c>
      <c r="J17" t="s">
        <v>40</v>
      </c>
      <c r="K17">
        <f t="shared" si="0"/>
        <v>6</v>
      </c>
      <c r="L17" cm="1">
        <f t="array" ref="L17">IFERROR(SUMPRODUCT((COUNTIF($D$2:$D$648,$D$2:$D$648)&gt;COUNTIF($D$2:$D$648,D17))/COUNTIF($D$2:$D$648,$D$2:$D$648))+1,"")</f>
        <v>39.000000000000114</v>
      </c>
    </row>
    <row r="18" spans="1:12" x14ac:dyDescent="0.3">
      <c r="A18" t="s">
        <v>8</v>
      </c>
      <c r="B18" s="3">
        <v>46241</v>
      </c>
      <c r="C18" t="s">
        <v>817</v>
      </c>
      <c r="D18" t="s">
        <v>33</v>
      </c>
      <c r="E18" t="s">
        <v>20</v>
      </c>
      <c r="G18" t="s">
        <v>224</v>
      </c>
      <c r="H18" t="s">
        <v>11</v>
      </c>
      <c r="I18">
        <v>2</v>
      </c>
      <c r="J18" t="s">
        <v>41</v>
      </c>
      <c r="K18">
        <f t="shared" si="0"/>
        <v>10</v>
      </c>
      <c r="L18" cm="1">
        <f t="array" ref="L18">IFERROR(SUMPRODUCT((COUNTIF($D$2:$D$648,$D$2:$D$648)&gt;COUNTIF($D$2:$D$648,D18))/COUNTIF($D$2:$D$648,$D$2:$D$648))+1,"")</f>
        <v>17.999999999999975</v>
      </c>
    </row>
    <row r="19" spans="1:12" x14ac:dyDescent="0.3">
      <c r="A19" t="s">
        <v>8</v>
      </c>
      <c r="B19" s="3">
        <v>46242</v>
      </c>
      <c r="C19" t="s">
        <v>815</v>
      </c>
      <c r="D19" t="s">
        <v>19</v>
      </c>
      <c r="E19" t="s">
        <v>20</v>
      </c>
      <c r="F19" t="s">
        <v>365</v>
      </c>
      <c r="G19" t="s">
        <v>220</v>
      </c>
      <c r="H19" t="s">
        <v>27</v>
      </c>
      <c r="I19">
        <v>5</v>
      </c>
      <c r="J19" t="s">
        <v>21</v>
      </c>
      <c r="K19">
        <f t="shared" si="0"/>
        <v>8</v>
      </c>
      <c r="L19" cm="1">
        <f t="array" ref="L19">IFERROR(SUMPRODUCT((COUNTIF($D$2:$D$648,$D$2:$D$648)&gt;COUNTIF($D$2:$D$648,D19))/COUNTIF($D$2:$D$648,$D$2:$D$648))+1,"")</f>
        <v>24.999999999999957</v>
      </c>
    </row>
    <row r="20" spans="1:12" x14ac:dyDescent="0.3">
      <c r="A20" t="s">
        <v>8</v>
      </c>
      <c r="B20" s="3">
        <v>46242</v>
      </c>
      <c r="C20" t="s">
        <v>815</v>
      </c>
      <c r="D20" t="s">
        <v>16</v>
      </c>
      <c r="E20" t="s">
        <v>17</v>
      </c>
      <c r="G20" t="s">
        <v>219</v>
      </c>
      <c r="H20" t="s">
        <v>27</v>
      </c>
      <c r="I20">
        <v>5</v>
      </c>
      <c r="J20" t="s">
        <v>18</v>
      </c>
      <c r="K20">
        <f t="shared" si="0"/>
        <v>10</v>
      </c>
      <c r="L20" cm="1">
        <f t="array" ref="L20">IFERROR(SUMPRODUCT((COUNTIF($D$2:$D$648,$D$2:$D$648)&gt;COUNTIF($D$2:$D$648,D20))/COUNTIF($D$2:$D$648,$D$2:$D$648))+1,"")</f>
        <v>17.999999999999975</v>
      </c>
    </row>
    <row r="21" spans="1:12" x14ac:dyDescent="0.3">
      <c r="A21" t="s">
        <v>8</v>
      </c>
      <c r="B21" s="3">
        <v>46242</v>
      </c>
      <c r="C21" t="s">
        <v>815</v>
      </c>
      <c r="D21" t="s">
        <v>9</v>
      </c>
      <c r="E21" t="s">
        <v>10</v>
      </c>
      <c r="F21" t="s">
        <v>296</v>
      </c>
      <c r="G21" t="s">
        <v>217</v>
      </c>
      <c r="H21" t="s">
        <v>11</v>
      </c>
      <c r="I21">
        <v>5</v>
      </c>
      <c r="J21" t="s">
        <v>12</v>
      </c>
      <c r="K21">
        <f t="shared" si="0"/>
        <v>5</v>
      </c>
      <c r="L21" cm="1">
        <f t="array" ref="L21">IFERROR(SUMPRODUCT((COUNTIF($D$2:$D$648,$D$2:$D$648)&gt;COUNTIF($D$2:$D$648,D21))/COUNTIF($D$2:$D$648,$D$2:$D$648))+1,"")</f>
        <v>43.000000000000199</v>
      </c>
    </row>
    <row r="22" spans="1:12" x14ac:dyDescent="0.3">
      <c r="A22" t="s">
        <v>8</v>
      </c>
      <c r="B22" s="3">
        <v>46242</v>
      </c>
      <c r="C22" t="s">
        <v>815</v>
      </c>
      <c r="D22" t="s">
        <v>13</v>
      </c>
      <c r="E22" t="s">
        <v>23</v>
      </c>
      <c r="F22" t="s">
        <v>362</v>
      </c>
      <c r="G22" t="s">
        <v>218</v>
      </c>
      <c r="H22" t="s">
        <v>11</v>
      </c>
      <c r="I22">
        <v>7</v>
      </c>
      <c r="J22" t="s">
        <v>15</v>
      </c>
      <c r="K22">
        <f t="shared" si="0"/>
        <v>47</v>
      </c>
      <c r="L22" cm="1">
        <f t="array" ref="L22">IFERROR(SUMPRODUCT((COUNTIF($D$2:$D$648,$D$2:$D$648)&gt;COUNTIF($D$2:$D$648,D22))/COUNTIF($D$2:$D$648,$D$2:$D$648))+1,"")</f>
        <v>1</v>
      </c>
    </row>
    <row r="23" spans="1:12" x14ac:dyDescent="0.3">
      <c r="A23" t="s">
        <v>8</v>
      </c>
      <c r="B23" s="3">
        <v>46242</v>
      </c>
      <c r="C23" t="s">
        <v>815</v>
      </c>
      <c r="D23" t="s">
        <v>42</v>
      </c>
      <c r="E23" t="s">
        <v>14</v>
      </c>
      <c r="F23" t="s">
        <v>366</v>
      </c>
      <c r="G23" t="s">
        <v>225</v>
      </c>
      <c r="H23" t="s">
        <v>11</v>
      </c>
      <c r="I23">
        <v>7</v>
      </c>
      <c r="J23" t="s">
        <v>15</v>
      </c>
      <c r="K23">
        <f t="shared" si="0"/>
        <v>5</v>
      </c>
      <c r="L23" cm="1">
        <f t="array" ref="L23">IFERROR(SUMPRODUCT((COUNTIF($D$2:$D$648,$D$2:$D$648)&gt;COUNTIF($D$2:$D$648,D23))/COUNTIF($D$2:$D$648,$D$2:$D$648))+1,"")</f>
        <v>43.000000000000199</v>
      </c>
    </row>
    <row r="24" spans="1:12" x14ac:dyDescent="0.3">
      <c r="A24" t="s">
        <v>8</v>
      </c>
      <c r="B24" s="3">
        <v>46245</v>
      </c>
      <c r="C24" t="s">
        <v>816</v>
      </c>
      <c r="D24" t="s">
        <v>43</v>
      </c>
      <c r="E24" t="s">
        <v>23</v>
      </c>
      <c r="F24" t="s">
        <v>367</v>
      </c>
      <c r="G24" t="s">
        <v>226</v>
      </c>
      <c r="H24" t="s">
        <v>11</v>
      </c>
      <c r="I24">
        <v>5</v>
      </c>
      <c r="J24" t="s">
        <v>44</v>
      </c>
      <c r="K24">
        <f t="shared" si="0"/>
        <v>15</v>
      </c>
      <c r="L24" cm="1">
        <f t="array" ref="L24">IFERROR(SUMPRODUCT((COUNTIF($D$2:$D$648,$D$2:$D$648)&gt;COUNTIF($D$2:$D$648,D24))/COUNTIF($D$2:$D$648,$D$2:$D$648))+1,"")</f>
        <v>6.9999999999999947</v>
      </c>
    </row>
    <row r="25" spans="1:12" x14ac:dyDescent="0.3">
      <c r="A25" t="s">
        <v>8</v>
      </c>
      <c r="B25" s="3">
        <v>46246</v>
      </c>
      <c r="C25" t="s">
        <v>812</v>
      </c>
      <c r="D25" t="s">
        <v>45</v>
      </c>
      <c r="E25" t="s">
        <v>46</v>
      </c>
      <c r="F25" t="s">
        <v>297</v>
      </c>
      <c r="G25" t="s">
        <v>227</v>
      </c>
      <c r="H25" t="s">
        <v>11</v>
      </c>
      <c r="I25">
        <v>6</v>
      </c>
      <c r="J25" t="s">
        <v>47</v>
      </c>
      <c r="K25">
        <f t="shared" si="0"/>
        <v>7</v>
      </c>
      <c r="L25" cm="1">
        <f t="array" ref="L25">IFERROR(SUMPRODUCT((COUNTIF($D$2:$D$648,$D$2:$D$648)&gt;COUNTIF($D$2:$D$648,D25))/COUNTIF($D$2:$D$648,$D$2:$D$648))+1,"")</f>
        <v>31.999999999999968</v>
      </c>
    </row>
    <row r="26" spans="1:12" x14ac:dyDescent="0.3">
      <c r="A26" t="s">
        <v>8</v>
      </c>
      <c r="B26" s="3">
        <v>46246</v>
      </c>
      <c r="C26" t="s">
        <v>812</v>
      </c>
      <c r="D26" t="s">
        <v>43</v>
      </c>
      <c r="E26" t="s">
        <v>23</v>
      </c>
      <c r="G26" t="s">
        <v>226</v>
      </c>
      <c r="H26" t="s">
        <v>11</v>
      </c>
      <c r="I26">
        <v>5</v>
      </c>
      <c r="J26" t="s">
        <v>44</v>
      </c>
      <c r="K26">
        <f t="shared" si="0"/>
        <v>15</v>
      </c>
      <c r="L26" cm="1">
        <f t="array" ref="L26">IFERROR(SUMPRODUCT((COUNTIF($D$2:$D$648,$D$2:$D$648)&gt;COUNTIF($D$2:$D$648,D26))/COUNTIF($D$2:$D$648,$D$2:$D$648))+1,"")</f>
        <v>6.9999999999999947</v>
      </c>
    </row>
    <row r="27" spans="1:12" x14ac:dyDescent="0.3">
      <c r="A27" t="s">
        <v>8</v>
      </c>
      <c r="B27" s="3">
        <v>46246</v>
      </c>
      <c r="C27" t="s">
        <v>812</v>
      </c>
      <c r="D27" t="s">
        <v>48</v>
      </c>
      <c r="E27" t="s">
        <v>20</v>
      </c>
      <c r="F27" t="s">
        <v>368</v>
      </c>
      <c r="G27" t="s">
        <v>228</v>
      </c>
      <c r="H27" t="s">
        <v>11</v>
      </c>
      <c r="I27">
        <v>5</v>
      </c>
      <c r="J27" t="s">
        <v>49</v>
      </c>
      <c r="K27">
        <f t="shared" si="0"/>
        <v>18</v>
      </c>
      <c r="L27" cm="1">
        <f t="array" ref="L27">IFERROR(SUMPRODUCT((COUNTIF($D$2:$D$648,$D$2:$D$648)&gt;COUNTIF($D$2:$D$648,D27))/COUNTIF($D$2:$D$648,$D$2:$D$648))+1,"")</f>
        <v>5.0000000000000009</v>
      </c>
    </row>
    <row r="28" spans="1:12" x14ac:dyDescent="0.3">
      <c r="A28" t="s">
        <v>8</v>
      </c>
      <c r="B28" s="3">
        <v>46246</v>
      </c>
      <c r="C28" t="s">
        <v>812</v>
      </c>
      <c r="D28" t="s">
        <v>50</v>
      </c>
      <c r="E28" t="s">
        <v>14</v>
      </c>
      <c r="F28" t="s">
        <v>369</v>
      </c>
      <c r="G28" t="s">
        <v>229</v>
      </c>
      <c r="H28" t="s">
        <v>11</v>
      </c>
      <c r="I28">
        <v>5</v>
      </c>
      <c r="J28" t="s">
        <v>51</v>
      </c>
      <c r="K28">
        <f t="shared" si="0"/>
        <v>1</v>
      </c>
      <c r="L28" cm="1">
        <f t="array" ref="L28">IFERROR(SUMPRODUCT((COUNTIF($D$2:$D$648,$D$2:$D$648)&gt;COUNTIF($D$2:$D$648,D28))/COUNTIF($D$2:$D$648,$D$2:$D$648))+1,"")</f>
        <v>80.000000000000426</v>
      </c>
    </row>
    <row r="29" spans="1:12" x14ac:dyDescent="0.3">
      <c r="A29" t="s">
        <v>8</v>
      </c>
      <c r="B29" s="3">
        <v>46247</v>
      </c>
      <c r="C29" t="s">
        <v>814</v>
      </c>
      <c r="D29" t="s">
        <v>52</v>
      </c>
      <c r="E29" t="s">
        <v>53</v>
      </c>
      <c r="F29" t="s">
        <v>298</v>
      </c>
      <c r="G29" t="s">
        <v>230</v>
      </c>
      <c r="H29" t="s">
        <v>27</v>
      </c>
      <c r="I29">
        <v>3</v>
      </c>
      <c r="J29" t="s">
        <v>28</v>
      </c>
      <c r="K29">
        <f t="shared" si="0"/>
        <v>11</v>
      </c>
      <c r="L29" cm="1">
        <f t="array" ref="L29">IFERROR(SUMPRODUCT((COUNTIF($D$2:$D$648,$D$2:$D$648)&gt;COUNTIF($D$2:$D$648,D29))/COUNTIF($D$2:$D$648,$D$2:$D$648))+1,"")</f>
        <v>11.999999999999961</v>
      </c>
    </row>
    <row r="30" spans="1:12" x14ac:dyDescent="0.3">
      <c r="A30" t="s">
        <v>8</v>
      </c>
      <c r="B30" s="3">
        <v>46247</v>
      </c>
      <c r="C30" t="s">
        <v>814</v>
      </c>
      <c r="D30" t="s">
        <v>45</v>
      </c>
      <c r="E30" t="s">
        <v>46</v>
      </c>
      <c r="F30" t="s">
        <v>297</v>
      </c>
      <c r="G30" t="s">
        <v>227</v>
      </c>
      <c r="H30" t="s">
        <v>11</v>
      </c>
      <c r="I30">
        <v>3</v>
      </c>
      <c r="J30" t="s">
        <v>29</v>
      </c>
      <c r="K30">
        <f t="shared" si="0"/>
        <v>7</v>
      </c>
      <c r="L30" cm="1">
        <f t="array" ref="L30">IFERROR(SUMPRODUCT((COUNTIF($D$2:$D$648,$D$2:$D$648)&gt;COUNTIF($D$2:$D$648,D30))/COUNTIF($D$2:$D$648,$D$2:$D$648))+1,"")</f>
        <v>31.999999999999968</v>
      </c>
    </row>
    <row r="31" spans="1:12" x14ac:dyDescent="0.3">
      <c r="A31" t="s">
        <v>8</v>
      </c>
      <c r="B31" s="3">
        <v>46247</v>
      </c>
      <c r="C31" t="s">
        <v>814</v>
      </c>
      <c r="D31" t="s">
        <v>43</v>
      </c>
      <c r="E31" t="s">
        <v>23</v>
      </c>
      <c r="F31" t="s">
        <v>370</v>
      </c>
      <c r="G31" t="s">
        <v>226</v>
      </c>
      <c r="H31" t="s">
        <v>11</v>
      </c>
      <c r="I31">
        <v>3</v>
      </c>
      <c r="J31" t="s">
        <v>54</v>
      </c>
      <c r="K31">
        <f t="shared" si="0"/>
        <v>15</v>
      </c>
      <c r="L31" cm="1">
        <f t="array" ref="L31">IFERROR(SUMPRODUCT((COUNTIF($D$2:$D$648,$D$2:$D$648)&gt;COUNTIF($D$2:$D$648,D31))/COUNTIF($D$2:$D$648,$D$2:$D$648))+1,"")</f>
        <v>6.9999999999999947</v>
      </c>
    </row>
    <row r="32" spans="1:12" x14ac:dyDescent="0.3">
      <c r="A32" t="s">
        <v>8</v>
      </c>
      <c r="B32" s="3">
        <v>46247</v>
      </c>
      <c r="C32" t="s">
        <v>814</v>
      </c>
      <c r="D32" t="s">
        <v>55</v>
      </c>
      <c r="E32" t="s">
        <v>17</v>
      </c>
      <c r="F32" t="s">
        <v>371</v>
      </c>
      <c r="G32" t="s">
        <v>231</v>
      </c>
      <c r="H32" t="s">
        <v>11</v>
      </c>
      <c r="I32">
        <v>3</v>
      </c>
      <c r="J32" t="s">
        <v>54</v>
      </c>
      <c r="K32">
        <f t="shared" si="0"/>
        <v>7</v>
      </c>
      <c r="L32" cm="1">
        <f t="array" ref="L32">IFERROR(SUMPRODUCT((COUNTIF($D$2:$D$648,$D$2:$D$648)&gt;COUNTIF($D$2:$D$648,D32))/COUNTIF($D$2:$D$648,$D$2:$D$648))+1,"")</f>
        <v>31.999999999999968</v>
      </c>
    </row>
    <row r="33" spans="1:12" x14ac:dyDescent="0.3">
      <c r="A33" t="s">
        <v>8</v>
      </c>
      <c r="B33" s="3">
        <v>46247</v>
      </c>
      <c r="C33" t="s">
        <v>814</v>
      </c>
      <c r="D33" t="s">
        <v>56</v>
      </c>
      <c r="E33" t="s">
        <v>14</v>
      </c>
      <c r="F33" t="s">
        <v>372</v>
      </c>
      <c r="G33" t="s">
        <v>232</v>
      </c>
      <c r="H33" t="s">
        <v>11</v>
      </c>
      <c r="I33">
        <v>3</v>
      </c>
      <c r="J33" t="s">
        <v>29</v>
      </c>
      <c r="K33">
        <f t="shared" si="0"/>
        <v>6</v>
      </c>
      <c r="L33" cm="1">
        <f t="array" ref="L33">IFERROR(SUMPRODUCT((COUNTIF($D$2:$D$648,$D$2:$D$648)&gt;COUNTIF($D$2:$D$648,D33))/COUNTIF($D$2:$D$648,$D$2:$D$648))+1,"")</f>
        <v>39.000000000000114</v>
      </c>
    </row>
    <row r="34" spans="1:12" x14ac:dyDescent="0.3">
      <c r="A34" t="s">
        <v>8</v>
      </c>
      <c r="B34" s="3">
        <v>46247</v>
      </c>
      <c r="C34" t="s">
        <v>814</v>
      </c>
      <c r="D34" t="s">
        <v>48</v>
      </c>
      <c r="E34" t="s">
        <v>20</v>
      </c>
      <c r="F34" t="s">
        <v>373</v>
      </c>
      <c r="G34" t="s">
        <v>228</v>
      </c>
      <c r="H34" t="s">
        <v>11</v>
      </c>
      <c r="I34">
        <v>3</v>
      </c>
      <c r="J34" t="s">
        <v>29</v>
      </c>
      <c r="K34">
        <f t="shared" si="0"/>
        <v>18</v>
      </c>
      <c r="L34" cm="1">
        <f t="array" ref="L34">IFERROR(SUMPRODUCT((COUNTIF($D$2:$D$648,$D$2:$D$648)&gt;COUNTIF($D$2:$D$648,D34))/COUNTIF($D$2:$D$648,$D$2:$D$648))+1,"")</f>
        <v>5.0000000000000009</v>
      </c>
    </row>
    <row r="35" spans="1:12" x14ac:dyDescent="0.3">
      <c r="A35" t="s">
        <v>8</v>
      </c>
      <c r="B35" s="3">
        <v>46248</v>
      </c>
      <c r="C35" t="s">
        <v>817</v>
      </c>
      <c r="D35" t="s">
        <v>52</v>
      </c>
      <c r="E35" t="s">
        <v>57</v>
      </c>
      <c r="F35" t="s">
        <v>298</v>
      </c>
      <c r="G35" t="s">
        <v>230</v>
      </c>
      <c r="H35" t="s">
        <v>27</v>
      </c>
      <c r="I35">
        <v>3</v>
      </c>
      <c r="J35" t="s">
        <v>37</v>
      </c>
      <c r="K35">
        <f t="shared" si="0"/>
        <v>11</v>
      </c>
      <c r="L35" cm="1">
        <f t="array" ref="L35">IFERROR(SUMPRODUCT((COUNTIF($D$2:$D$648,$D$2:$D$648)&gt;COUNTIF($D$2:$D$648,D35))/COUNTIF($D$2:$D$648,$D$2:$D$648))+1,"")</f>
        <v>11.999999999999961</v>
      </c>
    </row>
    <row r="36" spans="1:12" x14ac:dyDescent="0.3">
      <c r="A36" t="s">
        <v>8</v>
      </c>
      <c r="B36" s="3">
        <v>46248</v>
      </c>
      <c r="C36" t="s">
        <v>817</v>
      </c>
      <c r="D36" t="s">
        <v>45</v>
      </c>
      <c r="E36" t="s">
        <v>46</v>
      </c>
      <c r="F36" t="s">
        <v>297</v>
      </c>
      <c r="G36" t="s">
        <v>227</v>
      </c>
      <c r="H36" t="s">
        <v>11</v>
      </c>
      <c r="I36">
        <v>4</v>
      </c>
      <c r="J36" t="s">
        <v>40</v>
      </c>
      <c r="K36">
        <f t="shared" si="0"/>
        <v>7</v>
      </c>
      <c r="L36" cm="1">
        <f t="array" ref="L36">IFERROR(SUMPRODUCT((COUNTIF($D$2:$D$648,$D$2:$D$648)&gt;COUNTIF($D$2:$D$648,D36))/COUNTIF($D$2:$D$648,$D$2:$D$648))+1,"")</f>
        <v>31.999999999999968</v>
      </c>
    </row>
    <row r="37" spans="1:12" x14ac:dyDescent="0.3">
      <c r="A37" t="s">
        <v>8</v>
      </c>
      <c r="B37" s="3">
        <v>46248</v>
      </c>
      <c r="C37" t="s">
        <v>817</v>
      </c>
      <c r="D37" t="s">
        <v>13</v>
      </c>
      <c r="E37" t="s">
        <v>23</v>
      </c>
      <c r="F37" t="s">
        <v>374</v>
      </c>
      <c r="G37" t="s">
        <v>218</v>
      </c>
      <c r="H37" t="s">
        <v>11</v>
      </c>
      <c r="I37">
        <v>4</v>
      </c>
      <c r="J37" t="s">
        <v>40</v>
      </c>
      <c r="K37">
        <f t="shared" si="0"/>
        <v>47</v>
      </c>
      <c r="L37" cm="1">
        <f t="array" ref="L37">IFERROR(SUMPRODUCT((COUNTIF($D$2:$D$648,$D$2:$D$648)&gt;COUNTIF($D$2:$D$648,D37))/COUNTIF($D$2:$D$648,$D$2:$D$648))+1,"")</f>
        <v>1</v>
      </c>
    </row>
    <row r="38" spans="1:12" x14ac:dyDescent="0.3">
      <c r="A38" t="s">
        <v>8</v>
      </c>
      <c r="B38" s="3">
        <v>46248</v>
      </c>
      <c r="C38" t="s">
        <v>817</v>
      </c>
      <c r="D38" t="s">
        <v>58</v>
      </c>
      <c r="E38" t="s">
        <v>42</v>
      </c>
      <c r="F38" t="s">
        <v>299</v>
      </c>
      <c r="G38" t="s">
        <v>233</v>
      </c>
      <c r="H38" t="s">
        <v>11</v>
      </c>
      <c r="I38">
        <v>3</v>
      </c>
      <c r="J38" t="s">
        <v>59</v>
      </c>
      <c r="K38">
        <f t="shared" si="0"/>
        <v>2</v>
      </c>
      <c r="L38" cm="1">
        <f t="array" ref="L38">IFERROR(SUMPRODUCT((COUNTIF($D$2:$D$648,$D$2:$D$648)&gt;COUNTIF($D$2:$D$648,D38))/COUNTIF($D$2:$D$648,$D$2:$D$648))+1,"")</f>
        <v>65.000000000000426</v>
      </c>
    </row>
    <row r="39" spans="1:12" x14ac:dyDescent="0.3">
      <c r="A39" t="s">
        <v>8</v>
      </c>
      <c r="B39" s="3">
        <v>46248</v>
      </c>
      <c r="C39" t="s">
        <v>817</v>
      </c>
      <c r="D39" t="s">
        <v>60</v>
      </c>
      <c r="E39" t="s">
        <v>20</v>
      </c>
      <c r="F39" t="s">
        <v>375</v>
      </c>
      <c r="G39" t="s">
        <v>234</v>
      </c>
      <c r="H39" t="s">
        <v>11</v>
      </c>
      <c r="I39">
        <v>3</v>
      </c>
      <c r="J39" t="s">
        <v>59</v>
      </c>
      <c r="K39">
        <f t="shared" si="0"/>
        <v>1</v>
      </c>
      <c r="L39" cm="1">
        <f t="array" ref="L39">IFERROR(SUMPRODUCT((COUNTIF($D$2:$D$648,$D$2:$D$648)&gt;COUNTIF($D$2:$D$648,D39))/COUNTIF($D$2:$D$648,$D$2:$D$648))+1,"")</f>
        <v>80.000000000000426</v>
      </c>
    </row>
    <row r="40" spans="1:12" x14ac:dyDescent="0.3">
      <c r="A40" t="s">
        <v>8</v>
      </c>
      <c r="B40" s="3">
        <v>46248</v>
      </c>
      <c r="C40" t="s">
        <v>817</v>
      </c>
      <c r="D40" t="s">
        <v>61</v>
      </c>
      <c r="E40" t="s">
        <v>62</v>
      </c>
      <c r="F40" t="s">
        <v>300</v>
      </c>
      <c r="G40" t="s">
        <v>235</v>
      </c>
      <c r="H40" t="s">
        <v>11</v>
      </c>
      <c r="I40">
        <v>3</v>
      </c>
      <c r="J40" t="s">
        <v>35</v>
      </c>
      <c r="K40">
        <f t="shared" si="0"/>
        <v>2</v>
      </c>
      <c r="L40" cm="1">
        <f t="array" ref="L40">IFERROR(SUMPRODUCT((COUNTIF($D$2:$D$648,$D$2:$D$648)&gt;COUNTIF($D$2:$D$648,D40))/COUNTIF($D$2:$D$648,$D$2:$D$648))+1,"")</f>
        <v>65.000000000000426</v>
      </c>
    </row>
    <row r="41" spans="1:12" x14ac:dyDescent="0.3">
      <c r="A41" t="s">
        <v>8</v>
      </c>
      <c r="B41" s="3">
        <v>46248</v>
      </c>
      <c r="C41" t="s">
        <v>817</v>
      </c>
      <c r="D41" t="s">
        <v>63</v>
      </c>
      <c r="E41" t="s">
        <v>14</v>
      </c>
      <c r="F41" t="s">
        <v>376</v>
      </c>
      <c r="G41" t="s">
        <v>236</v>
      </c>
      <c r="H41" t="s">
        <v>11</v>
      </c>
      <c r="I41">
        <v>3</v>
      </c>
      <c r="J41" t="s">
        <v>59</v>
      </c>
      <c r="K41">
        <f t="shared" si="0"/>
        <v>8</v>
      </c>
      <c r="L41" cm="1">
        <f t="array" ref="L41">IFERROR(SUMPRODUCT((COUNTIF($D$2:$D$648,$D$2:$D$648)&gt;COUNTIF($D$2:$D$648,D41))/COUNTIF($D$2:$D$648,$D$2:$D$648))+1,"")</f>
        <v>24.999999999999957</v>
      </c>
    </row>
    <row r="42" spans="1:12" x14ac:dyDescent="0.3">
      <c r="A42" t="s">
        <v>8</v>
      </c>
      <c r="B42" s="3">
        <v>46249</v>
      </c>
      <c r="C42" t="s">
        <v>815</v>
      </c>
      <c r="D42" t="s">
        <v>52</v>
      </c>
      <c r="E42" t="s">
        <v>42</v>
      </c>
      <c r="F42" t="s">
        <v>298</v>
      </c>
      <c r="G42" t="s">
        <v>230</v>
      </c>
      <c r="H42" t="s">
        <v>27</v>
      </c>
      <c r="I42">
        <v>5</v>
      </c>
      <c r="J42" t="s">
        <v>18</v>
      </c>
      <c r="K42">
        <f t="shared" si="0"/>
        <v>11</v>
      </c>
      <c r="L42" cm="1">
        <f t="array" ref="L42">IFERROR(SUMPRODUCT((COUNTIF($D$2:$D$648,$D$2:$D$648)&gt;COUNTIF($D$2:$D$648,D42))/COUNTIF($D$2:$D$648,$D$2:$D$648))+1,"")</f>
        <v>11.999999999999961</v>
      </c>
    </row>
    <row r="43" spans="1:12" x14ac:dyDescent="0.3">
      <c r="A43" t="s">
        <v>8</v>
      </c>
      <c r="B43" s="3">
        <v>46249</v>
      </c>
      <c r="C43" t="s">
        <v>815</v>
      </c>
      <c r="D43" t="s">
        <v>13</v>
      </c>
      <c r="E43" t="s">
        <v>23</v>
      </c>
      <c r="F43" t="s">
        <v>374</v>
      </c>
      <c r="G43" t="s">
        <v>218</v>
      </c>
      <c r="H43" t="s">
        <v>11</v>
      </c>
      <c r="I43">
        <v>7</v>
      </c>
      <c r="J43" t="s">
        <v>15</v>
      </c>
      <c r="K43">
        <f t="shared" si="0"/>
        <v>47</v>
      </c>
      <c r="L43" cm="1">
        <f t="array" ref="L43">IFERROR(SUMPRODUCT((COUNTIF($D$2:$D$648,$D$2:$D$648)&gt;COUNTIF($D$2:$D$648,D43))/COUNTIF($D$2:$D$648,$D$2:$D$648))+1,"")</f>
        <v>1</v>
      </c>
    </row>
    <row r="44" spans="1:12" x14ac:dyDescent="0.3">
      <c r="A44" t="s">
        <v>8</v>
      </c>
      <c r="B44" s="3">
        <v>46249</v>
      </c>
      <c r="C44" t="s">
        <v>815</v>
      </c>
      <c r="D44" t="s">
        <v>64</v>
      </c>
      <c r="E44" t="s">
        <v>14</v>
      </c>
      <c r="F44" t="s">
        <v>377</v>
      </c>
      <c r="G44" t="s">
        <v>237</v>
      </c>
      <c r="H44" t="s">
        <v>11</v>
      </c>
      <c r="I44">
        <v>5</v>
      </c>
      <c r="J44" t="s">
        <v>65</v>
      </c>
      <c r="K44">
        <f t="shared" si="0"/>
        <v>1</v>
      </c>
      <c r="L44" cm="1">
        <f t="array" ref="L44">IFERROR(SUMPRODUCT((COUNTIF($D$2:$D$648,$D$2:$D$648)&gt;COUNTIF($D$2:$D$648,D44))/COUNTIF($D$2:$D$648,$D$2:$D$648))+1,"")</f>
        <v>80.000000000000426</v>
      </c>
    </row>
    <row r="45" spans="1:12" x14ac:dyDescent="0.3">
      <c r="A45" t="s">
        <v>8</v>
      </c>
      <c r="B45" s="3">
        <v>46249</v>
      </c>
      <c r="C45" t="s">
        <v>815</v>
      </c>
      <c r="D45" t="s">
        <v>45</v>
      </c>
      <c r="E45" t="s">
        <v>20</v>
      </c>
      <c r="F45" t="s">
        <v>378</v>
      </c>
      <c r="G45" t="s">
        <v>227</v>
      </c>
      <c r="H45" t="s">
        <v>11</v>
      </c>
      <c r="I45">
        <v>6</v>
      </c>
      <c r="J45" t="s">
        <v>47</v>
      </c>
      <c r="K45">
        <f t="shared" si="0"/>
        <v>7</v>
      </c>
      <c r="L45" cm="1">
        <f t="array" ref="L45">IFERROR(SUMPRODUCT((COUNTIF($D$2:$D$648,$D$2:$D$648)&gt;COUNTIF($D$2:$D$648,D45))/COUNTIF($D$2:$D$648,$D$2:$D$648))+1,"")</f>
        <v>31.999999999999968</v>
      </c>
    </row>
    <row r="46" spans="1:12" x14ac:dyDescent="0.3">
      <c r="A46" t="s">
        <v>8</v>
      </c>
      <c r="B46" s="3">
        <v>46249</v>
      </c>
      <c r="C46" t="s">
        <v>815</v>
      </c>
      <c r="D46" t="s">
        <v>66</v>
      </c>
      <c r="E46" t="s">
        <v>67</v>
      </c>
      <c r="F46" t="s">
        <v>379</v>
      </c>
      <c r="G46" t="s">
        <v>217</v>
      </c>
      <c r="H46" t="s">
        <v>11</v>
      </c>
      <c r="I46">
        <v>2</v>
      </c>
      <c r="J46" t="s">
        <v>68</v>
      </c>
      <c r="K46">
        <f t="shared" si="0"/>
        <v>2</v>
      </c>
      <c r="L46" cm="1">
        <f t="array" ref="L46">IFERROR(SUMPRODUCT((COUNTIF($D$2:$D$648,$D$2:$D$648)&gt;COUNTIF($D$2:$D$648,D46))/COUNTIF($D$2:$D$648,$D$2:$D$648))+1,"")</f>
        <v>65.000000000000426</v>
      </c>
    </row>
    <row r="47" spans="1:12" x14ac:dyDescent="0.3">
      <c r="A47" t="s">
        <v>8</v>
      </c>
      <c r="B47" s="3">
        <v>46249</v>
      </c>
      <c r="C47" t="s">
        <v>815</v>
      </c>
      <c r="D47" t="s">
        <v>69</v>
      </c>
      <c r="E47" t="s">
        <v>17</v>
      </c>
      <c r="F47" t="s">
        <v>380</v>
      </c>
      <c r="G47" t="s">
        <v>238</v>
      </c>
      <c r="H47" t="s">
        <v>11</v>
      </c>
      <c r="I47">
        <v>5</v>
      </c>
      <c r="J47" t="s">
        <v>12</v>
      </c>
      <c r="K47">
        <f t="shared" si="0"/>
        <v>17</v>
      </c>
      <c r="L47" cm="1">
        <f t="array" ref="L47">IFERROR(SUMPRODUCT((COUNTIF($D$2:$D$648,$D$2:$D$648)&gt;COUNTIF($D$2:$D$648,D47))/COUNTIF($D$2:$D$648,$D$2:$D$648))+1,"")</f>
        <v>5.9999999999999982</v>
      </c>
    </row>
    <row r="48" spans="1:12" x14ac:dyDescent="0.3">
      <c r="A48" t="s">
        <v>8</v>
      </c>
      <c r="B48" s="3">
        <v>46252</v>
      </c>
      <c r="C48" t="s">
        <v>816</v>
      </c>
      <c r="D48" t="s">
        <v>70</v>
      </c>
      <c r="E48" t="s">
        <v>20</v>
      </c>
      <c r="G48" t="s">
        <v>239</v>
      </c>
      <c r="H48" t="s">
        <v>27</v>
      </c>
      <c r="I48">
        <v>5</v>
      </c>
      <c r="J48" t="s">
        <v>18</v>
      </c>
      <c r="K48">
        <f t="shared" si="0"/>
        <v>1</v>
      </c>
      <c r="L48" cm="1">
        <f t="array" ref="L48">IFERROR(SUMPRODUCT((COUNTIF($D$2:$D$648,$D$2:$D$648)&gt;COUNTIF($D$2:$D$648,D48))/COUNTIF($D$2:$D$648,$D$2:$D$648))+1,"")</f>
        <v>80.000000000000426</v>
      </c>
    </row>
    <row r="49" spans="1:12" x14ac:dyDescent="0.3">
      <c r="A49" t="s">
        <v>8</v>
      </c>
      <c r="B49" s="3">
        <v>46252</v>
      </c>
      <c r="C49" t="s">
        <v>816</v>
      </c>
      <c r="D49" t="s">
        <v>71</v>
      </c>
      <c r="E49" t="s">
        <v>72</v>
      </c>
      <c r="F49" t="s">
        <v>301</v>
      </c>
      <c r="G49" t="s">
        <v>240</v>
      </c>
      <c r="H49" t="s">
        <v>11</v>
      </c>
      <c r="I49">
        <v>5</v>
      </c>
      <c r="J49" t="s">
        <v>44</v>
      </c>
      <c r="K49">
        <f t="shared" si="0"/>
        <v>13</v>
      </c>
      <c r="L49" cm="1">
        <f t="array" ref="L49">IFERROR(SUMPRODUCT((COUNTIF($D$2:$D$648,$D$2:$D$648)&gt;COUNTIF($D$2:$D$648,D49))/COUNTIF($D$2:$D$648,$D$2:$D$648))+1,"")</f>
        <v>7.999999999999992</v>
      </c>
    </row>
    <row r="50" spans="1:12" x14ac:dyDescent="0.3">
      <c r="A50" t="s">
        <v>8</v>
      </c>
      <c r="B50" s="3">
        <v>46252</v>
      </c>
      <c r="C50" t="s">
        <v>816</v>
      </c>
      <c r="D50" t="s">
        <v>73</v>
      </c>
      <c r="E50" t="s">
        <v>17</v>
      </c>
      <c r="F50" t="s">
        <v>381</v>
      </c>
      <c r="G50" t="s">
        <v>234</v>
      </c>
      <c r="H50" t="s">
        <v>11</v>
      </c>
      <c r="I50">
        <v>5</v>
      </c>
      <c r="J50" t="s">
        <v>49</v>
      </c>
      <c r="K50">
        <f t="shared" si="0"/>
        <v>11</v>
      </c>
      <c r="L50" cm="1">
        <f t="array" ref="L50">IFERROR(SUMPRODUCT((COUNTIF($D$2:$D$648,$D$2:$D$648)&gt;COUNTIF($D$2:$D$648,D50))/COUNTIF($D$2:$D$648,$D$2:$D$648))+1,"")</f>
        <v>11.999999999999961</v>
      </c>
    </row>
    <row r="51" spans="1:12" x14ac:dyDescent="0.3">
      <c r="A51" t="s">
        <v>8</v>
      </c>
      <c r="B51" s="3">
        <v>46252</v>
      </c>
      <c r="C51" t="s">
        <v>816</v>
      </c>
      <c r="D51" t="s">
        <v>13</v>
      </c>
      <c r="E51" t="s">
        <v>23</v>
      </c>
      <c r="F51" t="s">
        <v>374</v>
      </c>
      <c r="G51" t="s">
        <v>218</v>
      </c>
      <c r="H51" t="s">
        <v>11</v>
      </c>
      <c r="I51">
        <v>7</v>
      </c>
      <c r="J51" t="s">
        <v>15</v>
      </c>
      <c r="K51">
        <f t="shared" si="0"/>
        <v>47</v>
      </c>
      <c r="L51" cm="1">
        <f t="array" ref="L51">IFERROR(SUMPRODUCT((COUNTIF($D$2:$D$648,$D$2:$D$648)&gt;COUNTIF($D$2:$D$648,D51))/COUNTIF($D$2:$D$648,$D$2:$D$648))+1,"")</f>
        <v>1</v>
      </c>
    </row>
    <row r="52" spans="1:12" x14ac:dyDescent="0.3">
      <c r="A52" t="s">
        <v>8</v>
      </c>
      <c r="B52" s="3">
        <v>46252</v>
      </c>
      <c r="C52" t="s">
        <v>816</v>
      </c>
      <c r="D52" t="s">
        <v>74</v>
      </c>
      <c r="E52" t="s">
        <v>14</v>
      </c>
      <c r="F52" t="s">
        <v>382</v>
      </c>
      <c r="G52" t="s">
        <v>241</v>
      </c>
      <c r="H52" t="s">
        <v>11</v>
      </c>
      <c r="I52">
        <v>5</v>
      </c>
      <c r="J52" t="s">
        <v>75</v>
      </c>
      <c r="K52">
        <f t="shared" si="0"/>
        <v>9</v>
      </c>
      <c r="L52" cm="1">
        <f t="array" ref="L52">IFERROR(SUMPRODUCT((COUNTIF($D$2:$D$648,$D$2:$D$648)&gt;COUNTIF($D$2:$D$648,D52))/COUNTIF($D$2:$D$648,$D$2:$D$648))+1,"")</f>
        <v>21.999999999999968</v>
      </c>
    </row>
    <row r="53" spans="1:12" x14ac:dyDescent="0.3">
      <c r="A53" t="s">
        <v>8</v>
      </c>
      <c r="B53" s="3">
        <v>46252</v>
      </c>
      <c r="C53" t="s">
        <v>816</v>
      </c>
      <c r="D53" t="s">
        <v>76</v>
      </c>
      <c r="E53" t="s">
        <v>67</v>
      </c>
      <c r="F53" t="s">
        <v>383</v>
      </c>
      <c r="G53" t="s">
        <v>229</v>
      </c>
      <c r="H53" t="s">
        <v>11</v>
      </c>
      <c r="I53">
        <v>5</v>
      </c>
      <c r="J53" t="s">
        <v>51</v>
      </c>
      <c r="K53">
        <f t="shared" si="0"/>
        <v>11</v>
      </c>
      <c r="L53" cm="1">
        <f t="array" ref="L53">IFERROR(SUMPRODUCT((COUNTIF($D$2:$D$648,$D$2:$D$648)&gt;COUNTIF($D$2:$D$648,D53))/COUNTIF($D$2:$D$648,$D$2:$D$648))+1,"")</f>
        <v>11.999999999999961</v>
      </c>
    </row>
    <row r="54" spans="1:12" x14ac:dyDescent="0.3">
      <c r="A54" t="s">
        <v>8</v>
      </c>
      <c r="B54" s="3">
        <v>46253</v>
      </c>
      <c r="C54" t="s">
        <v>812</v>
      </c>
      <c r="D54" t="s">
        <v>71</v>
      </c>
      <c r="E54" t="s">
        <v>72</v>
      </c>
      <c r="F54" t="s">
        <v>301</v>
      </c>
      <c r="G54" t="s">
        <v>240</v>
      </c>
      <c r="H54" t="s">
        <v>11</v>
      </c>
      <c r="I54">
        <v>5</v>
      </c>
      <c r="J54" t="s">
        <v>44</v>
      </c>
      <c r="K54">
        <f t="shared" si="0"/>
        <v>13</v>
      </c>
      <c r="L54" cm="1">
        <f t="array" ref="L54">IFERROR(SUMPRODUCT((COUNTIF($D$2:$D$648,$D$2:$D$648)&gt;COUNTIF($D$2:$D$648,D54))/COUNTIF($D$2:$D$648,$D$2:$D$648))+1,"")</f>
        <v>7.999999999999992</v>
      </c>
    </row>
    <row r="55" spans="1:12" x14ac:dyDescent="0.3">
      <c r="A55" t="s">
        <v>8</v>
      </c>
      <c r="B55" s="3">
        <v>46253</v>
      </c>
      <c r="C55" t="s">
        <v>812</v>
      </c>
      <c r="D55" t="s">
        <v>77</v>
      </c>
      <c r="E55" t="s">
        <v>17</v>
      </c>
      <c r="F55" t="s">
        <v>384</v>
      </c>
      <c r="G55" t="s">
        <v>218</v>
      </c>
      <c r="H55" t="s">
        <v>11</v>
      </c>
      <c r="I55">
        <v>5</v>
      </c>
      <c r="J55" t="s">
        <v>44</v>
      </c>
      <c r="K55">
        <f t="shared" si="0"/>
        <v>7</v>
      </c>
      <c r="L55" cm="1">
        <f t="array" ref="L55">IFERROR(SUMPRODUCT((COUNTIF($D$2:$D$648,$D$2:$D$648)&gt;COUNTIF($D$2:$D$648,D55))/COUNTIF($D$2:$D$648,$D$2:$D$648))+1,"")</f>
        <v>31.999999999999968</v>
      </c>
    </row>
    <row r="56" spans="1:12" x14ac:dyDescent="0.3">
      <c r="A56" t="s">
        <v>8</v>
      </c>
      <c r="B56" s="3">
        <v>46254</v>
      </c>
      <c r="C56" t="s">
        <v>814</v>
      </c>
      <c r="D56" t="s">
        <v>71</v>
      </c>
      <c r="E56" t="s">
        <v>72</v>
      </c>
      <c r="F56" t="s">
        <v>301</v>
      </c>
      <c r="G56" t="s">
        <v>240</v>
      </c>
      <c r="H56" t="s">
        <v>11</v>
      </c>
      <c r="I56">
        <v>3</v>
      </c>
      <c r="J56" t="s">
        <v>54</v>
      </c>
      <c r="K56">
        <f t="shared" si="0"/>
        <v>13</v>
      </c>
      <c r="L56" cm="1">
        <f t="array" ref="L56">IFERROR(SUMPRODUCT((COUNTIF($D$2:$D$648,$D$2:$D$648)&gt;COUNTIF($D$2:$D$648,D56))/COUNTIF($D$2:$D$648,$D$2:$D$648))+1,"")</f>
        <v>7.999999999999992</v>
      </c>
    </row>
    <row r="57" spans="1:12" x14ac:dyDescent="0.3">
      <c r="A57" t="s">
        <v>8</v>
      </c>
      <c r="B57" s="3">
        <v>46254</v>
      </c>
      <c r="C57" t="s">
        <v>814</v>
      </c>
      <c r="D57" t="s">
        <v>13</v>
      </c>
      <c r="E57" t="s">
        <v>23</v>
      </c>
      <c r="F57" t="s">
        <v>374</v>
      </c>
      <c r="G57" t="s">
        <v>218</v>
      </c>
      <c r="H57" t="s">
        <v>11</v>
      </c>
      <c r="I57">
        <v>4</v>
      </c>
      <c r="J57" t="s">
        <v>30</v>
      </c>
      <c r="K57">
        <f t="shared" si="0"/>
        <v>47</v>
      </c>
      <c r="L57" cm="1">
        <f t="array" ref="L57">IFERROR(SUMPRODUCT((COUNTIF($D$2:$D$648,$D$2:$D$648)&gt;COUNTIF($D$2:$D$648,D57))/COUNTIF($D$2:$D$648,$D$2:$D$648))+1,"")</f>
        <v>1</v>
      </c>
    </row>
    <row r="58" spans="1:12" x14ac:dyDescent="0.3">
      <c r="A58" t="s">
        <v>8</v>
      </c>
      <c r="B58" s="3">
        <v>46254</v>
      </c>
      <c r="C58" t="s">
        <v>814</v>
      </c>
      <c r="D58" t="s">
        <v>78</v>
      </c>
      <c r="E58" t="s">
        <v>26</v>
      </c>
      <c r="F58" t="s">
        <v>302</v>
      </c>
      <c r="G58" t="s">
        <v>242</v>
      </c>
      <c r="H58" t="s">
        <v>11</v>
      </c>
      <c r="I58">
        <v>3</v>
      </c>
      <c r="J58" t="s">
        <v>28</v>
      </c>
      <c r="K58">
        <f t="shared" si="0"/>
        <v>7</v>
      </c>
      <c r="L58" cm="1">
        <f t="array" ref="L58">IFERROR(SUMPRODUCT((COUNTIF($D$2:$D$648,$D$2:$D$648)&gt;COUNTIF($D$2:$D$648,D58))/COUNTIF($D$2:$D$648,$D$2:$D$648))+1,"")</f>
        <v>31.999999999999968</v>
      </c>
    </row>
    <row r="59" spans="1:12" x14ac:dyDescent="0.3">
      <c r="A59" t="s">
        <v>8</v>
      </c>
      <c r="B59" s="3">
        <v>46254</v>
      </c>
      <c r="C59" t="s">
        <v>814</v>
      </c>
      <c r="D59" t="s">
        <v>79</v>
      </c>
      <c r="E59" t="s">
        <v>14</v>
      </c>
      <c r="F59" t="s">
        <v>385</v>
      </c>
      <c r="G59" t="s">
        <v>222</v>
      </c>
      <c r="H59" t="s">
        <v>11</v>
      </c>
      <c r="I59">
        <v>3</v>
      </c>
      <c r="J59" t="s">
        <v>28</v>
      </c>
      <c r="K59">
        <f t="shared" si="0"/>
        <v>8</v>
      </c>
      <c r="L59" cm="1">
        <f t="array" ref="L59">IFERROR(SUMPRODUCT((COUNTIF($D$2:$D$648,$D$2:$D$648)&gt;COUNTIF($D$2:$D$648,D59))/COUNTIF($D$2:$D$648,$D$2:$D$648))+1,"")</f>
        <v>24.999999999999957</v>
      </c>
    </row>
    <row r="60" spans="1:12" x14ac:dyDescent="0.3">
      <c r="A60" t="s">
        <v>8</v>
      </c>
      <c r="B60" s="3">
        <v>46254</v>
      </c>
      <c r="C60" t="s">
        <v>814</v>
      </c>
      <c r="D60" t="s">
        <v>77</v>
      </c>
      <c r="E60" t="s">
        <v>20</v>
      </c>
      <c r="F60" t="s">
        <v>386</v>
      </c>
      <c r="G60" t="s">
        <v>243</v>
      </c>
      <c r="H60" t="s">
        <v>11</v>
      </c>
      <c r="I60">
        <v>3</v>
      </c>
      <c r="J60" t="s">
        <v>54</v>
      </c>
      <c r="K60">
        <f t="shared" si="0"/>
        <v>7</v>
      </c>
      <c r="L60" cm="1">
        <f t="array" ref="L60">IFERROR(SUMPRODUCT((COUNTIF($D$2:$D$648,$D$2:$D$648)&gt;COUNTIF($D$2:$D$648,D60))/COUNTIF($D$2:$D$648,$D$2:$D$648))+1,"")</f>
        <v>31.999999999999968</v>
      </c>
    </row>
    <row r="61" spans="1:12" x14ac:dyDescent="0.3">
      <c r="A61" t="s">
        <v>8</v>
      </c>
      <c r="B61" s="3">
        <v>46254</v>
      </c>
      <c r="C61" t="s">
        <v>814</v>
      </c>
      <c r="D61" t="s">
        <v>80</v>
      </c>
      <c r="E61" t="s">
        <v>17</v>
      </c>
      <c r="F61" t="s">
        <v>387</v>
      </c>
      <c r="G61" t="s">
        <v>244</v>
      </c>
      <c r="H61" t="s">
        <v>11</v>
      </c>
      <c r="I61">
        <v>3</v>
      </c>
      <c r="J61" t="s">
        <v>54</v>
      </c>
      <c r="K61">
        <f t="shared" si="0"/>
        <v>2</v>
      </c>
      <c r="L61" cm="1">
        <f t="array" ref="L61">IFERROR(SUMPRODUCT((COUNTIF($D$2:$D$648,$D$2:$D$648)&gt;COUNTIF($D$2:$D$648,D61))/COUNTIF($D$2:$D$648,$D$2:$D$648))+1,"")</f>
        <v>65.000000000000426</v>
      </c>
    </row>
    <row r="62" spans="1:12" x14ac:dyDescent="0.3">
      <c r="A62" t="s">
        <v>8</v>
      </c>
      <c r="B62" s="3">
        <v>46255</v>
      </c>
      <c r="C62" t="s">
        <v>817</v>
      </c>
      <c r="D62" t="s">
        <v>13</v>
      </c>
      <c r="E62" t="s">
        <v>23</v>
      </c>
      <c r="F62" t="s">
        <v>374</v>
      </c>
      <c r="G62" t="s">
        <v>218</v>
      </c>
      <c r="H62" t="s">
        <v>11</v>
      </c>
      <c r="I62">
        <v>4</v>
      </c>
      <c r="J62" t="s">
        <v>40</v>
      </c>
      <c r="K62">
        <f t="shared" si="0"/>
        <v>47</v>
      </c>
      <c r="L62" cm="1">
        <f t="array" ref="L62">IFERROR(SUMPRODUCT((COUNTIF($D$2:$D$648,$D$2:$D$648)&gt;COUNTIF($D$2:$D$648,D62))/COUNTIF($D$2:$D$648,$D$2:$D$648))+1,"")</f>
        <v>1</v>
      </c>
    </row>
    <row r="63" spans="1:12" x14ac:dyDescent="0.3">
      <c r="A63" t="s">
        <v>8</v>
      </c>
      <c r="B63" s="3">
        <v>46255</v>
      </c>
      <c r="C63" t="s">
        <v>817</v>
      </c>
      <c r="D63" t="s">
        <v>81</v>
      </c>
      <c r="E63" t="s">
        <v>17</v>
      </c>
      <c r="F63" t="s">
        <v>388</v>
      </c>
      <c r="G63" t="s">
        <v>245</v>
      </c>
      <c r="H63" t="s">
        <v>11</v>
      </c>
      <c r="I63">
        <v>3</v>
      </c>
      <c r="J63" t="s">
        <v>59</v>
      </c>
      <c r="K63">
        <f t="shared" si="0"/>
        <v>5</v>
      </c>
      <c r="L63" cm="1">
        <f t="array" ref="L63">IFERROR(SUMPRODUCT((COUNTIF($D$2:$D$648,$D$2:$D$648)&gt;COUNTIF($D$2:$D$648,D63))/COUNTIF($D$2:$D$648,$D$2:$D$648))+1,"")</f>
        <v>43.000000000000199</v>
      </c>
    </row>
    <row r="64" spans="1:12" x14ac:dyDescent="0.3">
      <c r="A64" t="s">
        <v>8</v>
      </c>
      <c r="B64" s="3">
        <v>46255</v>
      </c>
      <c r="C64" t="s">
        <v>817</v>
      </c>
      <c r="D64" t="s">
        <v>77</v>
      </c>
      <c r="E64" t="s">
        <v>14</v>
      </c>
      <c r="F64" t="s">
        <v>389</v>
      </c>
      <c r="G64" t="s">
        <v>246</v>
      </c>
      <c r="H64" t="s">
        <v>11</v>
      </c>
      <c r="I64">
        <v>3</v>
      </c>
      <c r="J64" t="s">
        <v>37</v>
      </c>
      <c r="K64">
        <f t="shared" si="0"/>
        <v>7</v>
      </c>
      <c r="L64" cm="1">
        <f t="array" ref="L64">IFERROR(SUMPRODUCT((COUNTIF($D$2:$D$648,$D$2:$D$648)&gt;COUNTIF($D$2:$D$648,D64))/COUNTIF($D$2:$D$648,$D$2:$D$648))+1,"")</f>
        <v>31.999999999999968</v>
      </c>
    </row>
    <row r="65" spans="1:12" x14ac:dyDescent="0.3">
      <c r="A65" t="s">
        <v>8</v>
      </c>
      <c r="B65" s="3">
        <v>46255</v>
      </c>
      <c r="C65" t="s">
        <v>817</v>
      </c>
      <c r="D65" t="s">
        <v>82</v>
      </c>
      <c r="E65" t="s">
        <v>20</v>
      </c>
      <c r="F65" t="s">
        <v>390</v>
      </c>
      <c r="G65" t="s">
        <v>244</v>
      </c>
      <c r="H65" t="s">
        <v>11</v>
      </c>
      <c r="I65">
        <v>3</v>
      </c>
      <c r="J65" t="s">
        <v>37</v>
      </c>
      <c r="K65">
        <f t="shared" si="0"/>
        <v>2</v>
      </c>
      <c r="L65" cm="1">
        <f t="array" ref="L65">IFERROR(SUMPRODUCT((COUNTIF($D$2:$D$648,$D$2:$D$648)&gt;COUNTIF($D$2:$D$648,D65))/COUNTIF($D$2:$D$648,$D$2:$D$648))+1,"")</f>
        <v>65.000000000000426</v>
      </c>
    </row>
    <row r="66" spans="1:12" x14ac:dyDescent="0.3">
      <c r="A66" t="s">
        <v>8</v>
      </c>
      <c r="B66" s="3">
        <v>46256</v>
      </c>
      <c r="C66" t="s">
        <v>815</v>
      </c>
      <c r="D66" t="s">
        <v>83</v>
      </c>
      <c r="E66" t="s">
        <v>84</v>
      </c>
      <c r="F66" t="s">
        <v>391</v>
      </c>
      <c r="G66" t="s">
        <v>247</v>
      </c>
      <c r="H66" t="s">
        <v>27</v>
      </c>
      <c r="I66">
        <v>6</v>
      </c>
      <c r="J66" t="s">
        <v>85</v>
      </c>
      <c r="K66">
        <f t="shared" ref="K66:K129" si="1">COUNTIF($D$2:$D$700,D66)</f>
        <v>19</v>
      </c>
      <c r="L66" cm="1">
        <f t="array" ref="L66">IFERROR(SUMPRODUCT((COUNTIF($D$2:$D$648,$D$2:$D$648)&gt;COUNTIF($D$2:$D$648,D66))/COUNTIF($D$2:$D$648,$D$2:$D$648))+1,"")</f>
        <v>4</v>
      </c>
    </row>
    <row r="67" spans="1:12" x14ac:dyDescent="0.3">
      <c r="A67" t="s">
        <v>8</v>
      </c>
      <c r="B67" s="3">
        <v>46256</v>
      </c>
      <c r="C67" t="s">
        <v>815</v>
      </c>
      <c r="D67" t="s">
        <v>86</v>
      </c>
      <c r="E67" t="s">
        <v>23</v>
      </c>
      <c r="F67" t="s">
        <v>392</v>
      </c>
      <c r="G67" t="s">
        <v>248</v>
      </c>
      <c r="H67" t="s">
        <v>27</v>
      </c>
      <c r="I67">
        <v>7</v>
      </c>
      <c r="J67" t="s">
        <v>15</v>
      </c>
      <c r="K67">
        <f t="shared" si="1"/>
        <v>10</v>
      </c>
      <c r="L67" cm="1">
        <f t="array" ref="L67">IFERROR(SUMPRODUCT((COUNTIF($D$2:$D$648,$D$2:$D$648)&gt;COUNTIF($D$2:$D$648,D67))/COUNTIF($D$2:$D$648,$D$2:$D$648))+1,"")</f>
        <v>17.999999999999975</v>
      </c>
    </row>
    <row r="68" spans="1:12" x14ac:dyDescent="0.3">
      <c r="A68" t="s">
        <v>8</v>
      </c>
      <c r="B68" s="3">
        <v>46256</v>
      </c>
      <c r="C68" t="s">
        <v>815</v>
      </c>
      <c r="D68" t="s">
        <v>22</v>
      </c>
      <c r="E68" t="s">
        <v>20</v>
      </c>
      <c r="F68" t="s">
        <v>393</v>
      </c>
      <c r="G68" t="s">
        <v>221</v>
      </c>
      <c r="H68" t="s">
        <v>11</v>
      </c>
      <c r="I68">
        <v>5</v>
      </c>
      <c r="J68" t="s">
        <v>24</v>
      </c>
      <c r="K68">
        <f t="shared" si="1"/>
        <v>2</v>
      </c>
      <c r="L68" cm="1">
        <f t="array" ref="L68">IFERROR(SUMPRODUCT((COUNTIF($D$2:$D$648,$D$2:$D$648)&gt;COUNTIF($D$2:$D$648,D68))/COUNTIF($D$2:$D$648,$D$2:$D$648))+1,"")</f>
        <v>65.000000000000426</v>
      </c>
    </row>
    <row r="69" spans="1:12" x14ac:dyDescent="0.3">
      <c r="A69" t="s">
        <v>8</v>
      </c>
      <c r="B69" s="3">
        <v>46256</v>
      </c>
      <c r="C69" t="s">
        <v>815</v>
      </c>
      <c r="D69" t="s">
        <v>13</v>
      </c>
      <c r="E69" t="s">
        <v>14</v>
      </c>
      <c r="F69" t="s">
        <v>394</v>
      </c>
      <c r="G69" t="s">
        <v>218</v>
      </c>
      <c r="H69" t="s">
        <v>11</v>
      </c>
      <c r="I69">
        <v>7</v>
      </c>
      <c r="J69" t="s">
        <v>15</v>
      </c>
      <c r="K69">
        <f t="shared" si="1"/>
        <v>47</v>
      </c>
      <c r="L69" cm="1">
        <f t="array" ref="L69">IFERROR(SUMPRODUCT((COUNTIF($D$2:$D$648,$D$2:$D$648)&gt;COUNTIF($D$2:$D$648,D69))/COUNTIF($D$2:$D$648,$D$2:$D$648))+1,"")</f>
        <v>1</v>
      </c>
    </row>
    <row r="70" spans="1:12" x14ac:dyDescent="0.3">
      <c r="A70" t="s">
        <v>8</v>
      </c>
      <c r="B70" s="3">
        <v>46256</v>
      </c>
      <c r="C70" t="s">
        <v>815</v>
      </c>
      <c r="D70" t="s">
        <v>77</v>
      </c>
      <c r="E70" t="s">
        <v>87</v>
      </c>
      <c r="F70" t="s">
        <v>395</v>
      </c>
      <c r="H70" t="s">
        <v>11</v>
      </c>
      <c r="I70">
        <v>5</v>
      </c>
      <c r="J70" t="s">
        <v>44</v>
      </c>
      <c r="K70">
        <f t="shared" si="1"/>
        <v>7</v>
      </c>
      <c r="L70" cm="1">
        <f t="array" ref="L70">IFERROR(SUMPRODUCT((COUNTIF($D$2:$D$648,$D$2:$D$648)&gt;COUNTIF($D$2:$D$648,D70))/COUNTIF($D$2:$D$648,$D$2:$D$648))+1,"")</f>
        <v>31.999999999999968</v>
      </c>
    </row>
    <row r="71" spans="1:12" x14ac:dyDescent="0.3">
      <c r="A71" t="s">
        <v>8</v>
      </c>
      <c r="B71" s="3">
        <v>46256</v>
      </c>
      <c r="C71" t="s">
        <v>815</v>
      </c>
      <c r="D71" t="s">
        <v>88</v>
      </c>
      <c r="E71" t="s">
        <v>17</v>
      </c>
      <c r="F71" t="s">
        <v>396</v>
      </c>
      <c r="G71" t="s">
        <v>249</v>
      </c>
      <c r="H71" t="s">
        <v>11</v>
      </c>
      <c r="I71">
        <v>5</v>
      </c>
      <c r="J71" t="s">
        <v>24</v>
      </c>
      <c r="K71">
        <f t="shared" si="1"/>
        <v>12</v>
      </c>
      <c r="L71" cm="1">
        <f t="array" ref="L71">IFERROR(SUMPRODUCT((COUNTIF($D$2:$D$648,$D$2:$D$648)&gt;COUNTIF($D$2:$D$648,D71))/COUNTIF($D$2:$D$648,$D$2:$D$648))+1,"")</f>
        <v>10.999999999999973</v>
      </c>
    </row>
    <row r="72" spans="1:12" x14ac:dyDescent="0.3">
      <c r="A72" t="s">
        <v>8</v>
      </c>
      <c r="B72" s="3">
        <v>46256</v>
      </c>
      <c r="C72" t="s">
        <v>815</v>
      </c>
      <c r="D72" t="s">
        <v>58</v>
      </c>
      <c r="E72" t="s">
        <v>67</v>
      </c>
      <c r="F72" t="s">
        <v>397</v>
      </c>
      <c r="G72" t="s">
        <v>233</v>
      </c>
      <c r="H72" t="s">
        <v>11</v>
      </c>
      <c r="I72">
        <v>5</v>
      </c>
      <c r="J72" t="s">
        <v>51</v>
      </c>
      <c r="K72">
        <f t="shared" si="1"/>
        <v>2</v>
      </c>
      <c r="L72" cm="1">
        <f t="array" ref="L72">IFERROR(SUMPRODUCT((COUNTIF($D$2:$D$648,$D$2:$D$648)&gt;COUNTIF($D$2:$D$648,D72))/COUNTIF($D$2:$D$648,$D$2:$D$648))+1,"")</f>
        <v>65.000000000000426</v>
      </c>
    </row>
    <row r="73" spans="1:12" x14ac:dyDescent="0.3">
      <c r="A73" t="s">
        <v>8</v>
      </c>
      <c r="B73" s="3">
        <v>46259</v>
      </c>
      <c r="C73" t="s">
        <v>816</v>
      </c>
      <c r="D73" t="s">
        <v>83</v>
      </c>
      <c r="E73" t="s">
        <v>20</v>
      </c>
      <c r="F73" t="s">
        <v>398</v>
      </c>
      <c r="G73" t="s">
        <v>247</v>
      </c>
      <c r="H73" t="s">
        <v>27</v>
      </c>
      <c r="I73">
        <v>5</v>
      </c>
      <c r="J73" t="s">
        <v>21</v>
      </c>
      <c r="K73">
        <f t="shared" si="1"/>
        <v>19</v>
      </c>
      <c r="L73" cm="1">
        <f t="array" ref="L73">IFERROR(SUMPRODUCT((COUNTIF($D$2:$D$648,$D$2:$D$648)&gt;COUNTIF($D$2:$D$648,D73))/COUNTIF($D$2:$D$648,$D$2:$D$648))+1,"")</f>
        <v>4</v>
      </c>
    </row>
    <row r="74" spans="1:12" x14ac:dyDescent="0.3">
      <c r="A74" t="s">
        <v>8</v>
      </c>
      <c r="B74" s="3">
        <v>46259</v>
      </c>
      <c r="C74" t="s">
        <v>816</v>
      </c>
      <c r="D74" t="s">
        <v>55</v>
      </c>
      <c r="E74" t="s">
        <v>14</v>
      </c>
      <c r="F74" t="s">
        <v>399</v>
      </c>
      <c r="G74" t="s">
        <v>231</v>
      </c>
      <c r="H74" t="s">
        <v>11</v>
      </c>
      <c r="I74">
        <v>5</v>
      </c>
      <c r="J74" t="s">
        <v>51</v>
      </c>
      <c r="K74">
        <f t="shared" si="1"/>
        <v>7</v>
      </c>
      <c r="L74" cm="1">
        <f t="array" ref="L74">IFERROR(SUMPRODUCT((COUNTIF($D$2:$D$648,$D$2:$D$648)&gt;COUNTIF($D$2:$D$648,D74))/COUNTIF($D$2:$D$648,$D$2:$D$648))+1,"")</f>
        <v>31.999999999999968</v>
      </c>
    </row>
    <row r="75" spans="1:12" x14ac:dyDescent="0.3">
      <c r="A75" t="s">
        <v>8</v>
      </c>
      <c r="B75" s="3">
        <v>46259</v>
      </c>
      <c r="C75" t="s">
        <v>816</v>
      </c>
      <c r="D75" t="s">
        <v>89</v>
      </c>
      <c r="E75" t="s">
        <v>84</v>
      </c>
      <c r="F75" t="s">
        <v>400</v>
      </c>
      <c r="G75" t="s">
        <v>250</v>
      </c>
      <c r="H75" t="s">
        <v>11</v>
      </c>
      <c r="I75">
        <v>5</v>
      </c>
      <c r="J75" t="s">
        <v>90</v>
      </c>
      <c r="K75">
        <f t="shared" si="1"/>
        <v>7</v>
      </c>
      <c r="L75" cm="1">
        <f t="array" ref="L75">IFERROR(SUMPRODUCT((COUNTIF($D$2:$D$648,$D$2:$D$648)&gt;COUNTIF($D$2:$D$648,D75))/COUNTIF($D$2:$D$648,$D$2:$D$648))+1,"")</f>
        <v>31.999999999999968</v>
      </c>
    </row>
    <row r="76" spans="1:12" x14ac:dyDescent="0.3">
      <c r="A76" t="s">
        <v>8</v>
      </c>
      <c r="B76" s="3">
        <v>46259</v>
      </c>
      <c r="C76" t="s">
        <v>816</v>
      </c>
      <c r="D76" t="s">
        <v>48</v>
      </c>
      <c r="E76" t="s">
        <v>23</v>
      </c>
      <c r="F76" t="s">
        <v>401</v>
      </c>
      <c r="G76" t="s">
        <v>228</v>
      </c>
      <c r="H76" t="s">
        <v>11</v>
      </c>
      <c r="I76">
        <v>5</v>
      </c>
      <c r="J76" t="s">
        <v>49</v>
      </c>
      <c r="K76">
        <f t="shared" si="1"/>
        <v>18</v>
      </c>
      <c r="L76" cm="1">
        <f t="array" ref="L76">IFERROR(SUMPRODUCT((COUNTIF($D$2:$D$648,$D$2:$D$648)&gt;COUNTIF($D$2:$D$648,D76))/COUNTIF($D$2:$D$648,$D$2:$D$648))+1,"")</f>
        <v>5.0000000000000009</v>
      </c>
    </row>
    <row r="77" spans="1:12" x14ac:dyDescent="0.3">
      <c r="A77" t="s">
        <v>8</v>
      </c>
      <c r="B77" s="3">
        <v>46259</v>
      </c>
      <c r="C77" t="s">
        <v>816</v>
      </c>
      <c r="D77" t="s">
        <v>91</v>
      </c>
      <c r="E77" t="s">
        <v>67</v>
      </c>
      <c r="F77" t="s">
        <v>402</v>
      </c>
      <c r="G77" t="s">
        <v>251</v>
      </c>
      <c r="H77" t="s">
        <v>11</v>
      </c>
      <c r="I77">
        <v>5</v>
      </c>
      <c r="J77" t="s">
        <v>51</v>
      </c>
      <c r="K77">
        <f t="shared" si="1"/>
        <v>5</v>
      </c>
      <c r="L77" cm="1">
        <f t="array" ref="L77">IFERROR(SUMPRODUCT((COUNTIF($D$2:$D$648,$D$2:$D$648)&gt;COUNTIF($D$2:$D$648,D77))/COUNTIF($D$2:$D$648,$D$2:$D$648))+1,"")</f>
        <v>43.000000000000199</v>
      </c>
    </row>
    <row r="78" spans="1:12" x14ac:dyDescent="0.3">
      <c r="A78" t="s">
        <v>8</v>
      </c>
      <c r="B78" s="3">
        <v>46259</v>
      </c>
      <c r="C78" t="s">
        <v>816</v>
      </c>
      <c r="D78" t="s">
        <v>92</v>
      </c>
      <c r="E78" t="s">
        <v>17</v>
      </c>
      <c r="F78" t="s">
        <v>403</v>
      </c>
      <c r="G78" t="s">
        <v>225</v>
      </c>
      <c r="H78" t="s">
        <v>11</v>
      </c>
      <c r="I78">
        <v>7</v>
      </c>
      <c r="J78" t="s">
        <v>15</v>
      </c>
      <c r="K78">
        <f t="shared" si="1"/>
        <v>4</v>
      </c>
      <c r="L78" cm="1">
        <f t="array" ref="L78">IFERROR(SUMPRODUCT((COUNTIF($D$2:$D$648,$D$2:$D$648)&gt;COUNTIF($D$2:$D$648,D78))/COUNTIF($D$2:$D$648,$D$2:$D$648))+1,"")</f>
        <v>52.000000000000306</v>
      </c>
    </row>
    <row r="79" spans="1:12" x14ac:dyDescent="0.3">
      <c r="A79" t="s">
        <v>8</v>
      </c>
      <c r="B79" s="3">
        <v>46260</v>
      </c>
      <c r="C79" t="s">
        <v>812</v>
      </c>
      <c r="D79" t="s">
        <v>83</v>
      </c>
      <c r="E79" t="s">
        <v>36</v>
      </c>
      <c r="F79" t="s">
        <v>303</v>
      </c>
      <c r="G79" t="s">
        <v>247</v>
      </c>
      <c r="H79" t="s">
        <v>27</v>
      </c>
      <c r="I79">
        <v>5</v>
      </c>
      <c r="J79" t="s">
        <v>21</v>
      </c>
      <c r="K79">
        <f t="shared" si="1"/>
        <v>19</v>
      </c>
      <c r="L79" cm="1">
        <f t="array" ref="L79">IFERROR(SUMPRODUCT((COUNTIF($D$2:$D$648,$D$2:$D$648)&gt;COUNTIF($D$2:$D$648,D79))/COUNTIF($D$2:$D$648,$D$2:$D$648))+1,"")</f>
        <v>4</v>
      </c>
    </row>
    <row r="80" spans="1:12" x14ac:dyDescent="0.3">
      <c r="A80" t="s">
        <v>8</v>
      </c>
      <c r="B80" s="3">
        <v>46260</v>
      </c>
      <c r="C80" t="s">
        <v>812</v>
      </c>
      <c r="D80" t="s">
        <v>93</v>
      </c>
      <c r="E80" t="s">
        <v>36</v>
      </c>
      <c r="G80" t="s">
        <v>218</v>
      </c>
      <c r="H80" t="s">
        <v>27</v>
      </c>
      <c r="I80">
        <v>7</v>
      </c>
      <c r="J80" t="s">
        <v>15</v>
      </c>
      <c r="K80">
        <f t="shared" si="1"/>
        <v>1</v>
      </c>
      <c r="L80" cm="1">
        <f t="array" ref="L80">IFERROR(SUMPRODUCT((COUNTIF($D$2:$D$648,$D$2:$D$648)&gt;COUNTIF($D$2:$D$648,D80))/COUNTIF($D$2:$D$648,$D$2:$D$648))+1,"")</f>
        <v>80.000000000000426</v>
      </c>
    </row>
    <row r="81" spans="1:12" x14ac:dyDescent="0.3">
      <c r="A81" t="s">
        <v>8</v>
      </c>
      <c r="B81" s="3">
        <v>46260</v>
      </c>
      <c r="C81" t="s">
        <v>812</v>
      </c>
      <c r="D81" t="s">
        <v>89</v>
      </c>
      <c r="E81" t="s">
        <v>84</v>
      </c>
      <c r="F81" t="s">
        <v>404</v>
      </c>
      <c r="G81" t="s">
        <v>250</v>
      </c>
      <c r="H81" t="s">
        <v>11</v>
      </c>
      <c r="I81">
        <v>5</v>
      </c>
      <c r="J81" t="s">
        <v>90</v>
      </c>
      <c r="K81">
        <f t="shared" si="1"/>
        <v>7</v>
      </c>
      <c r="L81" cm="1">
        <f t="array" ref="L81">IFERROR(SUMPRODUCT((COUNTIF($D$2:$D$648,$D$2:$D$648)&gt;COUNTIF($D$2:$D$648,D81))/COUNTIF($D$2:$D$648,$D$2:$D$648))+1,"")</f>
        <v>31.999999999999968</v>
      </c>
    </row>
    <row r="82" spans="1:12" x14ac:dyDescent="0.3">
      <c r="A82" t="s">
        <v>8</v>
      </c>
      <c r="B82" s="3">
        <v>46260</v>
      </c>
      <c r="C82" t="s">
        <v>812</v>
      </c>
      <c r="D82" t="s">
        <v>43</v>
      </c>
      <c r="E82" t="s">
        <v>14</v>
      </c>
      <c r="F82" t="s">
        <v>405</v>
      </c>
      <c r="G82" t="s">
        <v>252</v>
      </c>
      <c r="H82" t="s">
        <v>11</v>
      </c>
      <c r="I82">
        <v>5</v>
      </c>
      <c r="J82" t="s">
        <v>44</v>
      </c>
      <c r="K82">
        <f t="shared" si="1"/>
        <v>15</v>
      </c>
      <c r="L82" cm="1">
        <f t="array" ref="L82">IFERROR(SUMPRODUCT((COUNTIF($D$2:$D$648,$D$2:$D$648)&gt;COUNTIF($D$2:$D$648,D82))/COUNTIF($D$2:$D$648,$D$2:$D$648))+1,"")</f>
        <v>6.9999999999999947</v>
      </c>
    </row>
    <row r="83" spans="1:12" x14ac:dyDescent="0.3">
      <c r="A83" t="s">
        <v>8</v>
      </c>
      <c r="B83" s="3">
        <v>46260</v>
      </c>
      <c r="C83" t="s">
        <v>812</v>
      </c>
      <c r="D83" t="s">
        <v>48</v>
      </c>
      <c r="E83" t="s">
        <v>23</v>
      </c>
      <c r="F83" t="s">
        <v>406</v>
      </c>
      <c r="G83" t="s">
        <v>228</v>
      </c>
      <c r="H83" t="s">
        <v>11</v>
      </c>
      <c r="I83">
        <v>5</v>
      </c>
      <c r="J83" t="s">
        <v>49</v>
      </c>
      <c r="K83">
        <f t="shared" si="1"/>
        <v>18</v>
      </c>
      <c r="L83" cm="1">
        <f t="array" ref="L83">IFERROR(SUMPRODUCT((COUNTIF($D$2:$D$648,$D$2:$D$648)&gt;COUNTIF($D$2:$D$648,D83))/COUNTIF($D$2:$D$648,$D$2:$D$648))+1,"")</f>
        <v>5.0000000000000009</v>
      </c>
    </row>
    <row r="84" spans="1:12" x14ac:dyDescent="0.3">
      <c r="A84" t="s">
        <v>8</v>
      </c>
      <c r="B84" s="3">
        <v>46260</v>
      </c>
      <c r="C84" t="s">
        <v>812</v>
      </c>
      <c r="D84" t="s">
        <v>94</v>
      </c>
      <c r="E84" t="s">
        <v>67</v>
      </c>
      <c r="F84" t="s">
        <v>407</v>
      </c>
      <c r="G84" t="s">
        <v>253</v>
      </c>
      <c r="H84" t="s">
        <v>11</v>
      </c>
      <c r="I84">
        <v>5</v>
      </c>
      <c r="J84" t="s">
        <v>65</v>
      </c>
      <c r="K84">
        <f t="shared" si="1"/>
        <v>10</v>
      </c>
      <c r="L84" cm="1">
        <f t="array" ref="L84">IFERROR(SUMPRODUCT((COUNTIF($D$2:$D$648,$D$2:$D$648)&gt;COUNTIF($D$2:$D$648,D84))/COUNTIF($D$2:$D$648,$D$2:$D$648))+1,"")</f>
        <v>17.999999999999975</v>
      </c>
    </row>
    <row r="85" spans="1:12" x14ac:dyDescent="0.3">
      <c r="A85" t="s">
        <v>8</v>
      </c>
      <c r="B85" s="3">
        <v>46260</v>
      </c>
      <c r="C85" t="s">
        <v>812</v>
      </c>
      <c r="D85" t="s">
        <v>95</v>
      </c>
      <c r="E85" t="s">
        <v>17</v>
      </c>
      <c r="F85" t="s">
        <v>408</v>
      </c>
      <c r="G85" t="s">
        <v>254</v>
      </c>
      <c r="H85" t="s">
        <v>11</v>
      </c>
      <c r="I85">
        <v>5</v>
      </c>
      <c r="J85" t="s">
        <v>75</v>
      </c>
      <c r="K85">
        <f t="shared" si="1"/>
        <v>11</v>
      </c>
      <c r="L85" cm="1">
        <f t="array" ref="L85">IFERROR(SUMPRODUCT((COUNTIF($D$2:$D$648,$D$2:$D$648)&gt;COUNTIF($D$2:$D$648,D85))/COUNTIF($D$2:$D$648,$D$2:$D$648))+1,"")</f>
        <v>11.999999999999961</v>
      </c>
    </row>
    <row r="86" spans="1:12" x14ac:dyDescent="0.3">
      <c r="A86" t="s">
        <v>8</v>
      </c>
      <c r="B86" s="3">
        <v>46261</v>
      </c>
      <c r="C86" t="s">
        <v>814</v>
      </c>
      <c r="D86" t="s">
        <v>79</v>
      </c>
      <c r="E86" t="s">
        <v>42</v>
      </c>
      <c r="F86" t="s">
        <v>304</v>
      </c>
      <c r="G86" t="s">
        <v>222</v>
      </c>
      <c r="H86" t="s">
        <v>27</v>
      </c>
      <c r="I86">
        <v>3</v>
      </c>
      <c r="J86" t="s">
        <v>28</v>
      </c>
      <c r="K86">
        <f t="shared" si="1"/>
        <v>8</v>
      </c>
      <c r="L86" cm="1">
        <f t="array" ref="L86">IFERROR(SUMPRODUCT((COUNTIF($D$2:$D$648,$D$2:$D$648)&gt;COUNTIF($D$2:$D$648,D86))/COUNTIF($D$2:$D$648,$D$2:$D$648))+1,"")</f>
        <v>24.999999999999957</v>
      </c>
    </row>
    <row r="87" spans="1:12" x14ac:dyDescent="0.3">
      <c r="A87" t="s">
        <v>8</v>
      </c>
      <c r="B87" s="3">
        <v>46261</v>
      </c>
      <c r="C87" t="s">
        <v>814</v>
      </c>
      <c r="D87" t="s">
        <v>96</v>
      </c>
      <c r="E87" t="s">
        <v>14</v>
      </c>
      <c r="F87" t="s">
        <v>409</v>
      </c>
      <c r="G87" t="s">
        <v>255</v>
      </c>
      <c r="H87" t="s">
        <v>27</v>
      </c>
      <c r="I87">
        <v>3</v>
      </c>
      <c r="J87" t="s">
        <v>28</v>
      </c>
      <c r="K87">
        <f t="shared" si="1"/>
        <v>8</v>
      </c>
      <c r="L87" cm="1">
        <f t="array" ref="L87">IFERROR(SUMPRODUCT((COUNTIF($D$2:$D$648,$D$2:$D$648)&gt;COUNTIF($D$2:$D$648,D87))/COUNTIF($D$2:$D$648,$D$2:$D$648))+1,"")</f>
        <v>24.999999999999957</v>
      </c>
    </row>
    <row r="88" spans="1:12" x14ac:dyDescent="0.3">
      <c r="A88" t="s">
        <v>8</v>
      </c>
      <c r="B88" s="3">
        <v>46261</v>
      </c>
      <c r="C88" t="s">
        <v>814</v>
      </c>
      <c r="D88" t="s">
        <v>97</v>
      </c>
      <c r="E88" t="s">
        <v>17</v>
      </c>
      <c r="F88" t="s">
        <v>410</v>
      </c>
      <c r="G88" t="s">
        <v>256</v>
      </c>
      <c r="H88" t="s">
        <v>11</v>
      </c>
      <c r="I88">
        <v>3</v>
      </c>
      <c r="J88" t="s">
        <v>98</v>
      </c>
      <c r="K88">
        <f t="shared" si="1"/>
        <v>13</v>
      </c>
      <c r="L88" cm="1">
        <f t="array" ref="L88">IFERROR(SUMPRODUCT((COUNTIF($D$2:$D$648,$D$2:$D$648)&gt;COUNTIF($D$2:$D$648,D88))/COUNTIF($D$2:$D$648,$D$2:$D$648))+1,"")</f>
        <v>7.999999999999992</v>
      </c>
    </row>
    <row r="89" spans="1:12" x14ac:dyDescent="0.3">
      <c r="A89" t="s">
        <v>8</v>
      </c>
      <c r="B89" s="3">
        <v>46261</v>
      </c>
      <c r="C89" t="s">
        <v>814</v>
      </c>
      <c r="D89" t="s">
        <v>69</v>
      </c>
      <c r="E89" t="s">
        <v>20</v>
      </c>
      <c r="F89" t="s">
        <v>411</v>
      </c>
      <c r="G89" t="s">
        <v>238</v>
      </c>
      <c r="H89" t="s">
        <v>11</v>
      </c>
      <c r="I89">
        <v>3</v>
      </c>
      <c r="J89" t="s">
        <v>29</v>
      </c>
      <c r="K89">
        <f t="shared" si="1"/>
        <v>17</v>
      </c>
      <c r="L89" cm="1">
        <f t="array" ref="L89">IFERROR(SUMPRODUCT((COUNTIF($D$2:$D$648,$D$2:$D$648)&gt;COUNTIF($D$2:$D$648,D89))/COUNTIF($D$2:$D$648,$D$2:$D$648))+1,"")</f>
        <v>5.9999999999999982</v>
      </c>
    </row>
    <row r="90" spans="1:12" x14ac:dyDescent="0.3">
      <c r="A90" t="s">
        <v>8</v>
      </c>
      <c r="B90" s="3">
        <v>46261</v>
      </c>
      <c r="C90" t="s">
        <v>814</v>
      </c>
      <c r="D90" t="s">
        <v>13</v>
      </c>
      <c r="E90" t="s">
        <v>23</v>
      </c>
      <c r="G90" t="s">
        <v>218</v>
      </c>
      <c r="H90" t="s">
        <v>11</v>
      </c>
      <c r="I90">
        <v>4</v>
      </c>
      <c r="J90" t="s">
        <v>30</v>
      </c>
      <c r="K90">
        <f t="shared" si="1"/>
        <v>47</v>
      </c>
      <c r="L90" cm="1">
        <f t="array" ref="L90">IFERROR(SUMPRODUCT((COUNTIF($D$2:$D$648,$D$2:$D$648)&gt;COUNTIF($D$2:$D$648,D90))/COUNTIF($D$2:$D$648,$D$2:$D$648))+1,"")</f>
        <v>1</v>
      </c>
    </row>
    <row r="91" spans="1:12" x14ac:dyDescent="0.3">
      <c r="A91" t="s">
        <v>8</v>
      </c>
      <c r="B91" s="3">
        <v>46262</v>
      </c>
      <c r="C91" t="s">
        <v>817</v>
      </c>
      <c r="D91" t="s">
        <v>69</v>
      </c>
      <c r="E91" t="s">
        <v>20</v>
      </c>
      <c r="F91" t="s">
        <v>411</v>
      </c>
      <c r="G91" t="s">
        <v>238</v>
      </c>
      <c r="H91" t="s">
        <v>11</v>
      </c>
      <c r="I91">
        <v>3</v>
      </c>
      <c r="J91" t="s">
        <v>37</v>
      </c>
      <c r="K91">
        <f t="shared" si="1"/>
        <v>17</v>
      </c>
      <c r="L91" cm="1">
        <f t="array" ref="L91">IFERROR(SUMPRODUCT((COUNTIF($D$2:$D$648,$D$2:$D$648)&gt;COUNTIF($D$2:$D$648,D91))/COUNTIF($D$2:$D$648,$D$2:$D$648))+1,"")</f>
        <v>5.9999999999999982</v>
      </c>
    </row>
    <row r="92" spans="1:12" x14ac:dyDescent="0.3">
      <c r="A92" t="s">
        <v>8</v>
      </c>
      <c r="B92" s="3">
        <v>46262</v>
      </c>
      <c r="C92" t="s">
        <v>817</v>
      </c>
      <c r="D92" t="s">
        <v>13</v>
      </c>
      <c r="E92" t="s">
        <v>23</v>
      </c>
      <c r="G92" t="s">
        <v>218</v>
      </c>
      <c r="H92" t="s">
        <v>11</v>
      </c>
      <c r="I92">
        <v>4</v>
      </c>
      <c r="J92" t="s">
        <v>40</v>
      </c>
      <c r="K92">
        <f t="shared" si="1"/>
        <v>47</v>
      </c>
      <c r="L92" cm="1">
        <f t="array" ref="L92">IFERROR(SUMPRODUCT((COUNTIF($D$2:$D$648,$D$2:$D$648)&gt;COUNTIF($D$2:$D$648,D92))/COUNTIF($D$2:$D$648,$D$2:$D$648))+1,"")</f>
        <v>1</v>
      </c>
    </row>
    <row r="93" spans="1:12" x14ac:dyDescent="0.3">
      <c r="A93" t="s">
        <v>8</v>
      </c>
      <c r="B93" s="3">
        <v>46262</v>
      </c>
      <c r="C93" t="s">
        <v>817</v>
      </c>
      <c r="D93" t="s">
        <v>99</v>
      </c>
      <c r="E93" t="s">
        <v>14</v>
      </c>
      <c r="F93" t="s">
        <v>412</v>
      </c>
      <c r="G93" t="s">
        <v>257</v>
      </c>
      <c r="H93" t="s">
        <v>11</v>
      </c>
      <c r="I93">
        <v>3</v>
      </c>
      <c r="J93" t="s">
        <v>35</v>
      </c>
      <c r="K93">
        <f t="shared" si="1"/>
        <v>3</v>
      </c>
      <c r="L93" cm="1">
        <f t="array" ref="L93">IFERROR(SUMPRODUCT((COUNTIF($D$2:$D$648,$D$2:$D$648)&gt;COUNTIF($D$2:$D$648,D93))/COUNTIF($D$2:$D$648,$D$2:$D$648))+1,"")</f>
        <v>58.000000000000348</v>
      </c>
    </row>
    <row r="94" spans="1:12" x14ac:dyDescent="0.3">
      <c r="A94" t="s">
        <v>8</v>
      </c>
      <c r="B94" s="3">
        <v>46262</v>
      </c>
      <c r="C94" t="s">
        <v>817</v>
      </c>
      <c r="D94" t="s">
        <v>100</v>
      </c>
      <c r="E94" t="s">
        <v>23</v>
      </c>
      <c r="F94" t="s">
        <v>413</v>
      </c>
      <c r="G94" t="s">
        <v>223</v>
      </c>
      <c r="H94" t="s">
        <v>11</v>
      </c>
      <c r="I94">
        <v>3</v>
      </c>
      <c r="J94" t="s">
        <v>38</v>
      </c>
      <c r="K94">
        <f t="shared" si="1"/>
        <v>3</v>
      </c>
      <c r="L94" cm="1">
        <f t="array" ref="L94">IFERROR(SUMPRODUCT((COUNTIF($D$2:$D$648,$D$2:$D$648)&gt;COUNTIF($D$2:$D$648,D94))/COUNTIF($D$2:$D$648,$D$2:$D$648))+1,"")</f>
        <v>58.000000000000348</v>
      </c>
    </row>
    <row r="95" spans="1:12" x14ac:dyDescent="0.3">
      <c r="A95" t="s">
        <v>8</v>
      </c>
      <c r="B95" s="3">
        <v>46263</v>
      </c>
      <c r="C95" t="s">
        <v>815</v>
      </c>
      <c r="D95" t="s">
        <v>78</v>
      </c>
      <c r="E95" t="s">
        <v>17</v>
      </c>
      <c r="F95" t="s">
        <v>414</v>
      </c>
      <c r="G95" t="s">
        <v>242</v>
      </c>
      <c r="H95" t="s">
        <v>27</v>
      </c>
      <c r="I95">
        <v>5</v>
      </c>
      <c r="J95" t="s">
        <v>21</v>
      </c>
      <c r="K95">
        <f t="shared" si="1"/>
        <v>7</v>
      </c>
      <c r="L95" cm="1">
        <f t="array" ref="L95">IFERROR(SUMPRODUCT((COUNTIF($D$2:$D$648,$D$2:$D$648)&gt;COUNTIF($D$2:$D$648,D95))/COUNTIF($D$2:$D$648,$D$2:$D$648))+1,"")</f>
        <v>31.999999999999968</v>
      </c>
    </row>
    <row r="96" spans="1:12" x14ac:dyDescent="0.3">
      <c r="A96" t="s">
        <v>8</v>
      </c>
      <c r="B96" s="3">
        <v>46263</v>
      </c>
      <c r="C96" t="s">
        <v>815</v>
      </c>
      <c r="D96" t="s">
        <v>101</v>
      </c>
      <c r="E96" t="s">
        <v>23</v>
      </c>
      <c r="F96" t="s">
        <v>415</v>
      </c>
      <c r="G96" t="s">
        <v>224</v>
      </c>
      <c r="H96" t="s">
        <v>11</v>
      </c>
      <c r="I96">
        <v>5</v>
      </c>
      <c r="J96" t="s">
        <v>49</v>
      </c>
      <c r="K96">
        <f t="shared" si="1"/>
        <v>5</v>
      </c>
      <c r="L96" cm="1">
        <f t="array" ref="L96">IFERROR(SUMPRODUCT((COUNTIF($D$2:$D$648,$D$2:$D$648)&gt;COUNTIF($D$2:$D$648,D96))/COUNTIF($D$2:$D$648,$D$2:$D$648))+1,"")</f>
        <v>43.000000000000199</v>
      </c>
    </row>
    <row r="97" spans="1:12" x14ac:dyDescent="0.3">
      <c r="A97" t="s">
        <v>8</v>
      </c>
      <c r="B97" s="3">
        <v>46263</v>
      </c>
      <c r="C97" t="s">
        <v>815</v>
      </c>
      <c r="D97" t="s">
        <v>102</v>
      </c>
      <c r="E97" t="s">
        <v>67</v>
      </c>
      <c r="F97" t="s">
        <v>416</v>
      </c>
      <c r="G97" t="s">
        <v>258</v>
      </c>
      <c r="H97" t="s">
        <v>11</v>
      </c>
      <c r="I97">
        <v>5</v>
      </c>
      <c r="J97" t="s">
        <v>90</v>
      </c>
      <c r="K97">
        <f t="shared" si="1"/>
        <v>1</v>
      </c>
      <c r="L97" cm="1">
        <f t="array" ref="L97">IFERROR(SUMPRODUCT((COUNTIF($D$2:$D$648,$D$2:$D$648)&gt;COUNTIF($D$2:$D$648,D97))/COUNTIF($D$2:$D$648,$D$2:$D$648))+1,"")</f>
        <v>80.000000000000426</v>
      </c>
    </row>
    <row r="98" spans="1:12" x14ac:dyDescent="0.3">
      <c r="A98" t="s">
        <v>8</v>
      </c>
      <c r="B98" s="3">
        <v>46263</v>
      </c>
      <c r="C98" t="s">
        <v>815</v>
      </c>
      <c r="D98" t="s">
        <v>74</v>
      </c>
      <c r="E98" t="s">
        <v>20</v>
      </c>
      <c r="F98" t="s">
        <v>417</v>
      </c>
      <c r="G98" t="s">
        <v>241</v>
      </c>
      <c r="H98" t="s">
        <v>11</v>
      </c>
      <c r="I98">
        <v>5</v>
      </c>
      <c r="J98" t="s">
        <v>75</v>
      </c>
      <c r="K98">
        <f t="shared" si="1"/>
        <v>9</v>
      </c>
      <c r="L98" cm="1">
        <f t="array" ref="L98">IFERROR(SUMPRODUCT((COUNTIF($D$2:$D$648,$D$2:$D$648)&gt;COUNTIF($D$2:$D$648,D98))/COUNTIF($D$2:$D$648,$D$2:$D$648))+1,"")</f>
        <v>21.999999999999968</v>
      </c>
    </row>
    <row r="99" spans="1:12" x14ac:dyDescent="0.3">
      <c r="A99" t="s">
        <v>8</v>
      </c>
      <c r="B99" s="3">
        <v>46263</v>
      </c>
      <c r="C99" t="s">
        <v>815</v>
      </c>
      <c r="D99" t="s">
        <v>103</v>
      </c>
      <c r="E99" t="s">
        <v>14</v>
      </c>
      <c r="F99" t="s">
        <v>418</v>
      </c>
      <c r="G99" t="s">
        <v>225</v>
      </c>
      <c r="H99" t="s">
        <v>11</v>
      </c>
      <c r="I99">
        <v>7</v>
      </c>
      <c r="J99" t="s">
        <v>15</v>
      </c>
      <c r="K99">
        <f t="shared" si="1"/>
        <v>7</v>
      </c>
      <c r="L99" cm="1">
        <f t="array" ref="L99">IFERROR(SUMPRODUCT((COUNTIF($D$2:$D$648,$D$2:$D$648)&gt;COUNTIF($D$2:$D$648,D99))/COUNTIF($D$2:$D$648,$D$2:$D$648))+1,"")</f>
        <v>31.999999999999968</v>
      </c>
    </row>
    <row r="100" spans="1:12" x14ac:dyDescent="0.3">
      <c r="A100" t="s">
        <v>104</v>
      </c>
      <c r="B100" s="3">
        <v>46267</v>
      </c>
      <c r="C100" t="s">
        <v>812</v>
      </c>
      <c r="D100" t="s">
        <v>95</v>
      </c>
      <c r="E100" t="s">
        <v>23</v>
      </c>
      <c r="F100" t="s">
        <v>419</v>
      </c>
      <c r="G100" t="s">
        <v>254</v>
      </c>
      <c r="H100" t="s">
        <v>11</v>
      </c>
      <c r="I100">
        <v>5</v>
      </c>
      <c r="J100" t="s">
        <v>75</v>
      </c>
      <c r="K100">
        <f t="shared" si="1"/>
        <v>11</v>
      </c>
      <c r="L100" cm="1">
        <f t="array" ref="L100">IFERROR(SUMPRODUCT((COUNTIF($D$2:$D$648,$D$2:$D$648)&gt;COUNTIF($D$2:$D$648,D100))/COUNTIF($D$2:$D$648,$D$2:$D$648))+1,"")</f>
        <v>11.999999999999961</v>
      </c>
    </row>
    <row r="101" spans="1:12" x14ac:dyDescent="0.3">
      <c r="A101" t="s">
        <v>104</v>
      </c>
      <c r="B101" s="3">
        <v>46267</v>
      </c>
      <c r="C101" t="s">
        <v>812</v>
      </c>
      <c r="D101" t="s">
        <v>43</v>
      </c>
      <c r="E101" t="s">
        <v>20</v>
      </c>
      <c r="F101" t="s">
        <v>420</v>
      </c>
      <c r="G101" t="s">
        <v>252</v>
      </c>
      <c r="H101" t="s">
        <v>11</v>
      </c>
      <c r="I101">
        <v>5</v>
      </c>
      <c r="J101" t="s">
        <v>44</v>
      </c>
      <c r="K101">
        <f t="shared" si="1"/>
        <v>15</v>
      </c>
      <c r="L101" cm="1">
        <f t="array" ref="L101">IFERROR(SUMPRODUCT((COUNTIF($D$2:$D$648,$D$2:$D$648)&gt;COUNTIF($D$2:$D$648,D101))/COUNTIF($D$2:$D$648,$D$2:$D$648))+1,"")</f>
        <v>6.9999999999999947</v>
      </c>
    </row>
    <row r="102" spans="1:12" x14ac:dyDescent="0.3">
      <c r="A102" t="s">
        <v>104</v>
      </c>
      <c r="B102" s="3">
        <v>46267</v>
      </c>
      <c r="C102" t="s">
        <v>812</v>
      </c>
      <c r="D102" t="s">
        <v>105</v>
      </c>
      <c r="E102" t="s">
        <v>17</v>
      </c>
      <c r="F102" t="s">
        <v>421</v>
      </c>
      <c r="G102" t="s">
        <v>259</v>
      </c>
      <c r="H102" t="s">
        <v>11</v>
      </c>
      <c r="I102">
        <v>5</v>
      </c>
      <c r="J102" t="s">
        <v>12</v>
      </c>
      <c r="K102">
        <f t="shared" si="1"/>
        <v>20</v>
      </c>
      <c r="L102" cm="1">
        <f t="array" ref="L102">IFERROR(SUMPRODUCT((COUNTIF($D$2:$D$648,$D$2:$D$648)&gt;COUNTIF($D$2:$D$648,D102))/COUNTIF($D$2:$D$648,$D$2:$D$648))+1,"")</f>
        <v>3.0000000000000009</v>
      </c>
    </row>
    <row r="103" spans="1:12" x14ac:dyDescent="0.3">
      <c r="A103" t="s">
        <v>104</v>
      </c>
      <c r="B103" s="3">
        <v>46267</v>
      </c>
      <c r="C103" t="s">
        <v>812</v>
      </c>
      <c r="D103" t="s">
        <v>106</v>
      </c>
      <c r="E103" t="s">
        <v>67</v>
      </c>
      <c r="F103" t="s">
        <v>422</v>
      </c>
      <c r="G103" t="s">
        <v>260</v>
      </c>
      <c r="H103" t="s">
        <v>11</v>
      </c>
      <c r="I103">
        <v>5</v>
      </c>
      <c r="J103" t="s">
        <v>90</v>
      </c>
      <c r="K103">
        <f t="shared" si="1"/>
        <v>8</v>
      </c>
      <c r="L103" cm="1">
        <f t="array" ref="L103">IFERROR(SUMPRODUCT((COUNTIF($D$2:$D$648,$D$2:$D$648)&gt;COUNTIF($D$2:$D$648,D103))/COUNTIF($D$2:$D$648,$D$2:$D$648))+1,"")</f>
        <v>24.999999999999957</v>
      </c>
    </row>
    <row r="104" spans="1:12" x14ac:dyDescent="0.3">
      <c r="A104" t="s">
        <v>104</v>
      </c>
      <c r="B104" s="3">
        <v>46267</v>
      </c>
      <c r="C104" t="s">
        <v>812</v>
      </c>
      <c r="D104" t="s">
        <v>80</v>
      </c>
      <c r="E104" t="s">
        <v>14</v>
      </c>
      <c r="F104" t="s">
        <v>423</v>
      </c>
      <c r="H104" t="s">
        <v>11</v>
      </c>
      <c r="I104">
        <v>5</v>
      </c>
      <c r="J104" t="s">
        <v>44</v>
      </c>
      <c r="K104">
        <f t="shared" si="1"/>
        <v>2</v>
      </c>
      <c r="L104" cm="1">
        <f t="array" ref="L104">IFERROR(SUMPRODUCT((COUNTIF($D$2:$D$648,$D$2:$D$648)&gt;COUNTIF($D$2:$D$648,D104))/COUNTIF($D$2:$D$648,$D$2:$D$648))+1,"")</f>
        <v>65.000000000000426</v>
      </c>
    </row>
    <row r="105" spans="1:12" x14ac:dyDescent="0.3">
      <c r="A105" t="s">
        <v>104</v>
      </c>
      <c r="B105" s="3">
        <v>46267</v>
      </c>
      <c r="C105" t="s">
        <v>812</v>
      </c>
      <c r="D105" t="s">
        <v>107</v>
      </c>
      <c r="E105" t="s">
        <v>14</v>
      </c>
      <c r="F105" t="s">
        <v>424</v>
      </c>
      <c r="G105" t="s">
        <v>225</v>
      </c>
      <c r="H105" t="s">
        <v>11</v>
      </c>
      <c r="I105">
        <v>7</v>
      </c>
      <c r="J105" t="s">
        <v>15</v>
      </c>
      <c r="K105">
        <f t="shared" si="1"/>
        <v>1</v>
      </c>
      <c r="L105" cm="1">
        <f t="array" ref="L105">IFERROR(SUMPRODUCT((COUNTIF($D$2:$D$648,$D$2:$D$648)&gt;COUNTIF($D$2:$D$648,D105))/COUNTIF($D$2:$D$648,$D$2:$D$648))+1,"")</f>
        <v>80.000000000000426</v>
      </c>
    </row>
    <row r="106" spans="1:12" x14ac:dyDescent="0.3">
      <c r="A106" t="s">
        <v>104</v>
      </c>
      <c r="B106" s="3">
        <v>46267</v>
      </c>
      <c r="C106" t="s">
        <v>812</v>
      </c>
      <c r="D106" t="s">
        <v>94</v>
      </c>
      <c r="E106" t="s">
        <v>14</v>
      </c>
      <c r="G106" t="s">
        <v>253</v>
      </c>
      <c r="H106" t="s">
        <v>11</v>
      </c>
      <c r="I106">
        <v>7</v>
      </c>
      <c r="J106" t="s">
        <v>15</v>
      </c>
      <c r="K106">
        <f t="shared" si="1"/>
        <v>10</v>
      </c>
      <c r="L106" cm="1">
        <f t="array" ref="L106">IFERROR(SUMPRODUCT((COUNTIF($D$2:$D$648,$D$2:$D$648)&gt;COUNTIF($D$2:$D$648,D106))/COUNTIF($D$2:$D$648,$D$2:$D$648))+1,"")</f>
        <v>17.999999999999975</v>
      </c>
    </row>
    <row r="107" spans="1:12" x14ac:dyDescent="0.3">
      <c r="A107" t="s">
        <v>104</v>
      </c>
      <c r="B107" s="3">
        <v>46267</v>
      </c>
      <c r="C107" t="s">
        <v>812</v>
      </c>
      <c r="D107" t="s">
        <v>108</v>
      </c>
      <c r="E107" t="s">
        <v>84</v>
      </c>
      <c r="G107" t="s">
        <v>218</v>
      </c>
      <c r="H107" t="s">
        <v>11</v>
      </c>
      <c r="I107">
        <v>7</v>
      </c>
      <c r="J107" t="s">
        <v>15</v>
      </c>
      <c r="K107">
        <f t="shared" si="1"/>
        <v>2</v>
      </c>
      <c r="L107" cm="1">
        <f t="array" ref="L107">IFERROR(SUMPRODUCT((COUNTIF($D$2:$D$648,$D$2:$D$648)&gt;COUNTIF($D$2:$D$648,D107))/COUNTIF($D$2:$D$648,$D$2:$D$648))+1,"")</f>
        <v>65.000000000000426</v>
      </c>
    </row>
    <row r="108" spans="1:12" x14ac:dyDescent="0.3">
      <c r="A108" t="s">
        <v>104</v>
      </c>
      <c r="B108" s="3">
        <v>46268</v>
      </c>
      <c r="C108" t="s">
        <v>814</v>
      </c>
      <c r="D108" t="s">
        <v>95</v>
      </c>
      <c r="E108" t="s">
        <v>23</v>
      </c>
      <c r="F108" t="s">
        <v>419</v>
      </c>
      <c r="G108" t="s">
        <v>254</v>
      </c>
      <c r="H108" t="s">
        <v>11</v>
      </c>
      <c r="I108">
        <v>3</v>
      </c>
      <c r="J108" t="s">
        <v>98</v>
      </c>
      <c r="K108">
        <f t="shared" si="1"/>
        <v>11</v>
      </c>
      <c r="L108" cm="1">
        <f t="array" ref="L108">IFERROR(SUMPRODUCT((COUNTIF($D$2:$D$648,$D$2:$D$648)&gt;COUNTIF($D$2:$D$648,D108))/COUNTIF($D$2:$D$648,$D$2:$D$648))+1,"")</f>
        <v>11.999999999999961</v>
      </c>
    </row>
    <row r="109" spans="1:12" x14ac:dyDescent="0.3">
      <c r="A109" t="s">
        <v>104</v>
      </c>
      <c r="B109" s="3">
        <v>46268</v>
      </c>
      <c r="C109" t="s">
        <v>814</v>
      </c>
      <c r="D109" t="s">
        <v>13</v>
      </c>
      <c r="E109" t="s">
        <v>67</v>
      </c>
      <c r="G109" t="s">
        <v>218</v>
      </c>
      <c r="H109" t="s">
        <v>11</v>
      </c>
      <c r="I109">
        <v>4</v>
      </c>
      <c r="J109" t="s">
        <v>30</v>
      </c>
      <c r="K109">
        <f t="shared" si="1"/>
        <v>47</v>
      </c>
      <c r="L109" cm="1">
        <f t="array" ref="L109">IFERROR(SUMPRODUCT((COUNTIF($D$2:$D$648,$D$2:$D$648)&gt;COUNTIF($D$2:$D$648,D109))/COUNTIF($D$2:$D$648,$D$2:$D$648))+1,"")</f>
        <v>1</v>
      </c>
    </row>
    <row r="110" spans="1:12" x14ac:dyDescent="0.3">
      <c r="A110" t="s">
        <v>104</v>
      </c>
      <c r="B110" s="3">
        <v>46268</v>
      </c>
      <c r="C110" t="s">
        <v>814</v>
      </c>
      <c r="D110" t="s">
        <v>69</v>
      </c>
      <c r="E110" t="s">
        <v>20</v>
      </c>
      <c r="F110" t="s">
        <v>425</v>
      </c>
      <c r="G110" t="s">
        <v>238</v>
      </c>
      <c r="H110" t="s">
        <v>11</v>
      </c>
      <c r="I110">
        <v>3</v>
      </c>
      <c r="J110" t="s">
        <v>29</v>
      </c>
      <c r="K110">
        <f t="shared" si="1"/>
        <v>17</v>
      </c>
      <c r="L110" cm="1">
        <f t="array" ref="L110">IFERROR(SUMPRODUCT((COUNTIF($D$2:$D$648,$D$2:$D$648)&gt;COUNTIF($D$2:$D$648,D110))/COUNTIF($D$2:$D$648,$D$2:$D$648))+1,"")</f>
        <v>5.9999999999999982</v>
      </c>
    </row>
    <row r="111" spans="1:12" x14ac:dyDescent="0.3">
      <c r="A111" t="s">
        <v>104</v>
      </c>
      <c r="B111" s="3">
        <v>46268</v>
      </c>
      <c r="C111" t="s">
        <v>814</v>
      </c>
      <c r="D111" t="s">
        <v>83</v>
      </c>
      <c r="E111" t="s">
        <v>17</v>
      </c>
      <c r="F111" t="s">
        <v>426</v>
      </c>
      <c r="G111" t="s">
        <v>247</v>
      </c>
      <c r="H111" t="s">
        <v>11</v>
      </c>
      <c r="I111">
        <v>3</v>
      </c>
      <c r="J111" t="s">
        <v>28</v>
      </c>
      <c r="K111">
        <f t="shared" si="1"/>
        <v>19</v>
      </c>
      <c r="L111" cm="1">
        <f t="array" ref="L111">IFERROR(SUMPRODUCT((COUNTIF($D$2:$D$648,$D$2:$D$648)&gt;COUNTIF($D$2:$D$648,D111))/COUNTIF($D$2:$D$648,$D$2:$D$648))+1,"")</f>
        <v>4</v>
      </c>
    </row>
    <row r="112" spans="1:12" x14ac:dyDescent="0.3">
      <c r="A112" t="s">
        <v>104</v>
      </c>
      <c r="B112" s="3">
        <v>46268</v>
      </c>
      <c r="C112" t="s">
        <v>814</v>
      </c>
      <c r="D112" t="s">
        <v>105</v>
      </c>
      <c r="E112" t="s">
        <v>14</v>
      </c>
      <c r="F112" t="s">
        <v>427</v>
      </c>
      <c r="G112" t="s">
        <v>259</v>
      </c>
      <c r="H112" t="s">
        <v>11</v>
      </c>
      <c r="I112">
        <v>3</v>
      </c>
      <c r="J112" t="s">
        <v>29</v>
      </c>
      <c r="K112">
        <f t="shared" si="1"/>
        <v>20</v>
      </c>
      <c r="L112" cm="1">
        <f t="array" ref="L112">IFERROR(SUMPRODUCT((COUNTIF($D$2:$D$648,$D$2:$D$648)&gt;COUNTIF($D$2:$D$648,D112))/COUNTIF($D$2:$D$648,$D$2:$D$648))+1,"")</f>
        <v>3.0000000000000009</v>
      </c>
    </row>
    <row r="113" spans="1:12" x14ac:dyDescent="0.3">
      <c r="A113" t="s">
        <v>104</v>
      </c>
      <c r="B113" s="3">
        <v>46269</v>
      </c>
      <c r="C113" t="s">
        <v>817</v>
      </c>
      <c r="D113" t="s">
        <v>109</v>
      </c>
      <c r="E113" t="s">
        <v>67</v>
      </c>
      <c r="F113" t="s">
        <v>428</v>
      </c>
      <c r="G113" t="s">
        <v>261</v>
      </c>
      <c r="H113" t="s">
        <v>27</v>
      </c>
      <c r="I113">
        <v>3</v>
      </c>
      <c r="J113" t="s">
        <v>35</v>
      </c>
      <c r="K113">
        <f t="shared" si="1"/>
        <v>3</v>
      </c>
      <c r="L113" cm="1">
        <f t="array" ref="L113">IFERROR(SUMPRODUCT((COUNTIF($D$2:$D$648,$D$2:$D$648)&gt;COUNTIF($D$2:$D$648,D113))/COUNTIF($D$2:$D$648,$D$2:$D$648))+1,"")</f>
        <v>58.000000000000348</v>
      </c>
    </row>
    <row r="114" spans="1:12" x14ac:dyDescent="0.3">
      <c r="A114" t="s">
        <v>104</v>
      </c>
      <c r="B114" s="3">
        <v>46269</v>
      </c>
      <c r="C114" t="s">
        <v>817</v>
      </c>
      <c r="D114" t="s">
        <v>110</v>
      </c>
      <c r="E114" t="s">
        <v>20</v>
      </c>
      <c r="F114" t="s">
        <v>429</v>
      </c>
      <c r="G114" t="s">
        <v>262</v>
      </c>
      <c r="H114" t="s">
        <v>11</v>
      </c>
      <c r="I114">
        <v>3</v>
      </c>
      <c r="J114" t="s">
        <v>37</v>
      </c>
      <c r="K114">
        <f t="shared" si="1"/>
        <v>11</v>
      </c>
      <c r="L114" cm="1">
        <f t="array" ref="L114">IFERROR(SUMPRODUCT((COUNTIF($D$2:$D$648,$D$2:$D$648)&gt;COUNTIF($D$2:$D$648,D114))/COUNTIF($D$2:$D$648,$D$2:$D$648))+1,"")</f>
        <v>11.999999999999961</v>
      </c>
    </row>
    <row r="115" spans="1:12" x14ac:dyDescent="0.3">
      <c r="A115" t="s">
        <v>104</v>
      </c>
      <c r="B115" s="3">
        <v>46269</v>
      </c>
      <c r="C115" t="s">
        <v>817</v>
      </c>
      <c r="D115" t="s">
        <v>13</v>
      </c>
      <c r="E115" t="s">
        <v>84</v>
      </c>
      <c r="G115" t="s">
        <v>218</v>
      </c>
      <c r="H115" t="s">
        <v>11</v>
      </c>
      <c r="I115">
        <v>4</v>
      </c>
      <c r="J115" t="s">
        <v>40</v>
      </c>
      <c r="K115">
        <f t="shared" si="1"/>
        <v>47</v>
      </c>
      <c r="L115" cm="1">
        <f t="array" ref="L115">IFERROR(SUMPRODUCT((COUNTIF($D$2:$D$648,$D$2:$D$648)&gt;COUNTIF($D$2:$D$648,D115))/COUNTIF($D$2:$D$648,$D$2:$D$648))+1,"")</f>
        <v>1</v>
      </c>
    </row>
    <row r="116" spans="1:12" x14ac:dyDescent="0.3">
      <c r="A116" t="s">
        <v>104</v>
      </c>
      <c r="B116" s="3">
        <v>46269</v>
      </c>
      <c r="C116" t="s">
        <v>817</v>
      </c>
      <c r="D116" t="s">
        <v>82</v>
      </c>
      <c r="E116" t="s">
        <v>14</v>
      </c>
      <c r="F116" t="s">
        <v>430</v>
      </c>
      <c r="G116" t="s">
        <v>244</v>
      </c>
      <c r="H116" t="s">
        <v>11</v>
      </c>
      <c r="I116">
        <v>3</v>
      </c>
      <c r="J116" t="s">
        <v>37</v>
      </c>
      <c r="K116">
        <f t="shared" si="1"/>
        <v>2</v>
      </c>
      <c r="L116" cm="1">
        <f t="array" ref="L116">IFERROR(SUMPRODUCT((COUNTIF($D$2:$D$648,$D$2:$D$648)&gt;COUNTIF($D$2:$D$648,D116))/COUNTIF($D$2:$D$648,$D$2:$D$648))+1,"")</f>
        <v>65.000000000000426</v>
      </c>
    </row>
    <row r="117" spans="1:12" x14ac:dyDescent="0.3">
      <c r="A117" t="s">
        <v>104</v>
      </c>
      <c r="B117" s="3">
        <v>46269</v>
      </c>
      <c r="C117" t="s">
        <v>817</v>
      </c>
      <c r="D117" t="s">
        <v>105</v>
      </c>
      <c r="E117" t="s">
        <v>23</v>
      </c>
      <c r="F117" t="s">
        <v>431</v>
      </c>
      <c r="G117" t="s">
        <v>259</v>
      </c>
      <c r="H117" t="s">
        <v>11</v>
      </c>
      <c r="I117">
        <v>3</v>
      </c>
      <c r="J117" t="s">
        <v>37</v>
      </c>
      <c r="K117">
        <f t="shared" si="1"/>
        <v>20</v>
      </c>
      <c r="L117" cm="1">
        <f t="array" ref="L117">IFERROR(SUMPRODUCT((COUNTIF($D$2:$D$648,$D$2:$D$648)&gt;COUNTIF($D$2:$D$648,D117))/COUNTIF($D$2:$D$648,$D$2:$D$648))+1,"")</f>
        <v>3.0000000000000009</v>
      </c>
    </row>
    <row r="118" spans="1:12" x14ac:dyDescent="0.3">
      <c r="A118" t="s">
        <v>104</v>
      </c>
      <c r="B118" s="3">
        <v>46270</v>
      </c>
      <c r="C118" t="s">
        <v>815</v>
      </c>
      <c r="D118" t="s">
        <v>111</v>
      </c>
      <c r="E118" t="s">
        <v>14</v>
      </c>
      <c r="F118" t="s">
        <v>432</v>
      </c>
      <c r="G118" t="s">
        <v>255</v>
      </c>
      <c r="H118" t="s">
        <v>27</v>
      </c>
      <c r="I118">
        <v>5</v>
      </c>
      <c r="J118" t="s">
        <v>112</v>
      </c>
      <c r="K118">
        <f t="shared" si="1"/>
        <v>1</v>
      </c>
      <c r="L118" cm="1">
        <f t="array" ref="L118">IFERROR(SUMPRODUCT((COUNTIF($D$2:$D$648,$D$2:$D$648)&gt;COUNTIF($D$2:$D$648,D118))/COUNTIF($D$2:$D$648,$D$2:$D$648))+1,"")</f>
        <v>80.000000000000426</v>
      </c>
    </row>
    <row r="119" spans="1:12" x14ac:dyDescent="0.3">
      <c r="A119" t="s">
        <v>104</v>
      </c>
      <c r="B119" s="3">
        <v>46270</v>
      </c>
      <c r="C119" t="s">
        <v>815</v>
      </c>
      <c r="D119" t="s">
        <v>108</v>
      </c>
      <c r="E119" t="s">
        <v>14</v>
      </c>
      <c r="F119" t="s">
        <v>433</v>
      </c>
      <c r="G119" t="s">
        <v>218</v>
      </c>
      <c r="H119" t="s">
        <v>11</v>
      </c>
      <c r="I119">
        <v>7</v>
      </c>
      <c r="J119" t="s">
        <v>15</v>
      </c>
      <c r="K119">
        <f t="shared" si="1"/>
        <v>2</v>
      </c>
      <c r="L119" cm="1">
        <f t="array" ref="L119">IFERROR(SUMPRODUCT((COUNTIF($D$2:$D$648,$D$2:$D$648)&gt;COUNTIF($D$2:$D$648,D119))/COUNTIF($D$2:$D$648,$D$2:$D$648))+1,"")</f>
        <v>65.000000000000426</v>
      </c>
    </row>
    <row r="120" spans="1:12" x14ac:dyDescent="0.3">
      <c r="A120" t="s">
        <v>104</v>
      </c>
      <c r="B120" s="3">
        <v>46270</v>
      </c>
      <c r="C120" t="s">
        <v>815</v>
      </c>
      <c r="D120" t="s">
        <v>113</v>
      </c>
      <c r="E120" t="s">
        <v>57</v>
      </c>
      <c r="F120" t="s">
        <v>305</v>
      </c>
      <c r="G120" t="s">
        <v>231</v>
      </c>
      <c r="H120" t="s">
        <v>11</v>
      </c>
      <c r="I120">
        <v>5</v>
      </c>
      <c r="J120" t="s">
        <v>51</v>
      </c>
      <c r="K120">
        <f t="shared" si="1"/>
        <v>4</v>
      </c>
      <c r="L120" cm="1">
        <f t="array" ref="L120">IFERROR(SUMPRODUCT((COUNTIF($D$2:$D$648,$D$2:$D$648)&gt;COUNTIF($D$2:$D$648,D120))/COUNTIF($D$2:$D$648,$D$2:$D$648))+1,"")</f>
        <v>52.000000000000306</v>
      </c>
    </row>
    <row r="121" spans="1:12" x14ac:dyDescent="0.3">
      <c r="A121" t="s">
        <v>104</v>
      </c>
      <c r="B121" s="3">
        <v>46270</v>
      </c>
      <c r="C121" t="s">
        <v>815</v>
      </c>
      <c r="D121" t="s">
        <v>105</v>
      </c>
      <c r="E121" t="s">
        <v>114</v>
      </c>
      <c r="F121" t="s">
        <v>306</v>
      </c>
      <c r="G121" t="s">
        <v>259</v>
      </c>
      <c r="H121" t="s">
        <v>11</v>
      </c>
      <c r="I121">
        <v>5</v>
      </c>
      <c r="J121" t="s">
        <v>12</v>
      </c>
      <c r="K121">
        <f t="shared" si="1"/>
        <v>20</v>
      </c>
      <c r="L121" cm="1">
        <f t="array" ref="L121">IFERROR(SUMPRODUCT((COUNTIF($D$2:$D$648,$D$2:$D$648)&gt;COUNTIF($D$2:$D$648,D121))/COUNTIF($D$2:$D$648,$D$2:$D$648))+1,"")</f>
        <v>3.0000000000000009</v>
      </c>
    </row>
    <row r="122" spans="1:12" x14ac:dyDescent="0.3">
      <c r="A122" t="s">
        <v>104</v>
      </c>
      <c r="B122" s="3">
        <v>46270</v>
      </c>
      <c r="C122" t="s">
        <v>815</v>
      </c>
      <c r="D122" t="s">
        <v>91</v>
      </c>
      <c r="E122" t="s">
        <v>67</v>
      </c>
      <c r="F122" t="s">
        <v>434</v>
      </c>
      <c r="G122" t="s">
        <v>251</v>
      </c>
      <c r="H122" t="s">
        <v>11</v>
      </c>
      <c r="I122">
        <v>5</v>
      </c>
      <c r="J122" t="s">
        <v>51</v>
      </c>
      <c r="K122">
        <f t="shared" si="1"/>
        <v>5</v>
      </c>
      <c r="L122" cm="1">
        <f t="array" ref="L122">IFERROR(SUMPRODUCT((COUNTIF($D$2:$D$648,$D$2:$D$648)&gt;COUNTIF($D$2:$D$648,D122))/COUNTIF($D$2:$D$648,$D$2:$D$648))+1,"")</f>
        <v>43.000000000000199</v>
      </c>
    </row>
    <row r="123" spans="1:12" x14ac:dyDescent="0.3">
      <c r="A123" t="s">
        <v>104</v>
      </c>
      <c r="B123" s="3">
        <v>46270</v>
      </c>
      <c r="C123" t="s">
        <v>815</v>
      </c>
      <c r="D123" t="s">
        <v>76</v>
      </c>
      <c r="E123" t="s">
        <v>17</v>
      </c>
      <c r="F123" t="s">
        <v>435</v>
      </c>
      <c r="G123" t="s">
        <v>229</v>
      </c>
      <c r="H123" t="s">
        <v>11</v>
      </c>
      <c r="I123">
        <v>5</v>
      </c>
      <c r="J123" t="s">
        <v>51</v>
      </c>
      <c r="K123">
        <f t="shared" si="1"/>
        <v>11</v>
      </c>
      <c r="L123" cm="1">
        <f t="array" ref="L123">IFERROR(SUMPRODUCT((COUNTIF($D$2:$D$648,$D$2:$D$648)&gt;COUNTIF($D$2:$D$648,D123))/COUNTIF($D$2:$D$648,$D$2:$D$648))+1,"")</f>
        <v>11.999999999999961</v>
      </c>
    </row>
    <row r="124" spans="1:12" x14ac:dyDescent="0.3">
      <c r="A124" t="s">
        <v>104</v>
      </c>
      <c r="B124" s="3">
        <v>46270</v>
      </c>
      <c r="C124" t="s">
        <v>815</v>
      </c>
      <c r="D124" t="s">
        <v>48</v>
      </c>
      <c r="E124" t="s">
        <v>23</v>
      </c>
      <c r="F124" t="s">
        <v>436</v>
      </c>
      <c r="G124" t="s">
        <v>228</v>
      </c>
      <c r="H124" t="s">
        <v>11</v>
      </c>
      <c r="I124">
        <v>5</v>
      </c>
      <c r="J124" t="s">
        <v>49</v>
      </c>
      <c r="K124">
        <f t="shared" si="1"/>
        <v>18</v>
      </c>
      <c r="L124" cm="1">
        <f t="array" ref="L124">IFERROR(SUMPRODUCT((COUNTIF($D$2:$D$648,$D$2:$D$648)&gt;COUNTIF($D$2:$D$648,D124))/COUNTIF($D$2:$D$648,$D$2:$D$648))+1,"")</f>
        <v>5.0000000000000009</v>
      </c>
    </row>
    <row r="125" spans="1:12" x14ac:dyDescent="0.3">
      <c r="A125" t="s">
        <v>104</v>
      </c>
      <c r="B125" s="3">
        <v>46273</v>
      </c>
      <c r="C125" t="s">
        <v>816</v>
      </c>
      <c r="D125" t="s">
        <v>13</v>
      </c>
      <c r="E125" t="s">
        <v>67</v>
      </c>
      <c r="F125" t="s">
        <v>437</v>
      </c>
      <c r="G125" t="s">
        <v>218</v>
      </c>
      <c r="H125" t="s">
        <v>11</v>
      </c>
      <c r="I125">
        <v>7</v>
      </c>
      <c r="J125" t="s">
        <v>15</v>
      </c>
      <c r="K125">
        <f t="shared" si="1"/>
        <v>47</v>
      </c>
      <c r="L125" cm="1">
        <f t="array" ref="L125">IFERROR(SUMPRODUCT((COUNTIF($D$2:$D$648,$D$2:$D$648)&gt;COUNTIF($D$2:$D$648,D125))/COUNTIF($D$2:$D$648,$D$2:$D$648))+1,"")</f>
        <v>1</v>
      </c>
    </row>
    <row r="126" spans="1:12" x14ac:dyDescent="0.3">
      <c r="A126" t="s">
        <v>104</v>
      </c>
      <c r="B126" s="3">
        <v>46273</v>
      </c>
      <c r="C126" t="s">
        <v>816</v>
      </c>
      <c r="D126" t="s">
        <v>56</v>
      </c>
      <c r="E126" t="s">
        <v>14</v>
      </c>
      <c r="F126" t="s">
        <v>438</v>
      </c>
      <c r="G126" t="s">
        <v>232</v>
      </c>
      <c r="H126" t="s">
        <v>11</v>
      </c>
      <c r="I126">
        <v>5</v>
      </c>
      <c r="J126" t="s">
        <v>12</v>
      </c>
      <c r="K126">
        <f t="shared" si="1"/>
        <v>6</v>
      </c>
      <c r="L126" cm="1">
        <f t="array" ref="L126">IFERROR(SUMPRODUCT((COUNTIF($D$2:$D$648,$D$2:$D$648)&gt;COUNTIF($D$2:$D$648,D126))/COUNTIF($D$2:$D$648,$D$2:$D$648))+1,"")</f>
        <v>39.000000000000114</v>
      </c>
    </row>
    <row r="127" spans="1:12" x14ac:dyDescent="0.3">
      <c r="A127" t="s">
        <v>104</v>
      </c>
      <c r="B127" s="3">
        <v>46273</v>
      </c>
      <c r="C127" t="s">
        <v>816</v>
      </c>
      <c r="D127" t="s">
        <v>105</v>
      </c>
      <c r="E127" t="s">
        <v>20</v>
      </c>
      <c r="F127" t="s">
        <v>439</v>
      </c>
      <c r="G127" t="s">
        <v>259</v>
      </c>
      <c r="H127" t="s">
        <v>11</v>
      </c>
      <c r="I127">
        <v>5</v>
      </c>
      <c r="J127" t="s">
        <v>12</v>
      </c>
      <c r="K127">
        <f t="shared" si="1"/>
        <v>20</v>
      </c>
      <c r="L127" cm="1">
        <f t="array" ref="L127">IFERROR(SUMPRODUCT((COUNTIF($D$2:$D$648,$D$2:$D$648)&gt;COUNTIF($D$2:$D$648,D127))/COUNTIF($D$2:$D$648,$D$2:$D$648))+1,"")</f>
        <v>3.0000000000000009</v>
      </c>
    </row>
    <row r="128" spans="1:12" x14ac:dyDescent="0.3">
      <c r="A128" t="s">
        <v>104</v>
      </c>
      <c r="B128" s="3">
        <v>46274</v>
      </c>
      <c r="C128" t="s">
        <v>812</v>
      </c>
      <c r="D128" t="s">
        <v>115</v>
      </c>
      <c r="E128" t="s">
        <v>84</v>
      </c>
      <c r="F128" t="s">
        <v>440</v>
      </c>
      <c r="H128" t="s">
        <v>27</v>
      </c>
      <c r="I128">
        <v>5</v>
      </c>
      <c r="J128" t="s">
        <v>18</v>
      </c>
      <c r="K128">
        <f t="shared" si="1"/>
        <v>1</v>
      </c>
      <c r="L128" cm="1">
        <f t="array" ref="L128">IFERROR(SUMPRODUCT((COUNTIF($D$2:$D$648,$D$2:$D$648)&gt;COUNTIF($D$2:$D$648,D128))/COUNTIF($D$2:$D$648,$D$2:$D$648))+1,"")</f>
        <v>80.000000000000426</v>
      </c>
    </row>
    <row r="129" spans="1:12" x14ac:dyDescent="0.3">
      <c r="A129" t="s">
        <v>104</v>
      </c>
      <c r="B129" s="3">
        <v>46274</v>
      </c>
      <c r="C129" t="s">
        <v>812</v>
      </c>
      <c r="D129" t="s">
        <v>116</v>
      </c>
      <c r="E129" t="s">
        <v>20</v>
      </c>
      <c r="F129" t="s">
        <v>441</v>
      </c>
      <c r="G129" t="s">
        <v>263</v>
      </c>
      <c r="H129" t="s">
        <v>27</v>
      </c>
      <c r="I129">
        <v>5</v>
      </c>
      <c r="J129" t="s">
        <v>112</v>
      </c>
      <c r="K129">
        <f t="shared" si="1"/>
        <v>5</v>
      </c>
      <c r="L129" cm="1">
        <f t="array" ref="L129">IFERROR(SUMPRODUCT((COUNTIF($D$2:$D$648,$D$2:$D$648)&gt;COUNTIF($D$2:$D$648,D129))/COUNTIF($D$2:$D$648,$D$2:$D$648))+1,"")</f>
        <v>43.000000000000199</v>
      </c>
    </row>
    <row r="130" spans="1:12" x14ac:dyDescent="0.3">
      <c r="A130" t="s">
        <v>104</v>
      </c>
      <c r="B130" s="3">
        <v>46274</v>
      </c>
      <c r="C130" t="s">
        <v>812</v>
      </c>
      <c r="D130" t="s">
        <v>88</v>
      </c>
      <c r="E130" t="s">
        <v>14</v>
      </c>
      <c r="F130" t="s">
        <v>442</v>
      </c>
      <c r="G130" t="s">
        <v>249</v>
      </c>
      <c r="H130" t="s">
        <v>11</v>
      </c>
      <c r="I130">
        <v>5</v>
      </c>
      <c r="J130" t="s">
        <v>24</v>
      </c>
      <c r="K130">
        <f t="shared" ref="K130:K193" si="2">COUNTIF($D$2:$D$700,D130)</f>
        <v>12</v>
      </c>
      <c r="L130" cm="1">
        <f t="array" ref="L130">IFERROR(SUMPRODUCT((COUNTIF($D$2:$D$648,$D$2:$D$648)&gt;COUNTIF($D$2:$D$648,D130))/COUNTIF($D$2:$D$648,$D$2:$D$648))+1,"")</f>
        <v>10.999999999999973</v>
      </c>
    </row>
    <row r="131" spans="1:12" x14ac:dyDescent="0.3">
      <c r="A131" t="s">
        <v>104</v>
      </c>
      <c r="B131" s="3">
        <v>46274</v>
      </c>
      <c r="C131" t="s">
        <v>812</v>
      </c>
      <c r="D131" t="s">
        <v>110</v>
      </c>
      <c r="E131" t="s">
        <v>23</v>
      </c>
      <c r="F131" t="s">
        <v>443</v>
      </c>
      <c r="G131" t="s">
        <v>262</v>
      </c>
      <c r="H131" t="s">
        <v>11</v>
      </c>
      <c r="I131">
        <v>5</v>
      </c>
      <c r="J131" t="s">
        <v>90</v>
      </c>
      <c r="K131">
        <f t="shared" si="2"/>
        <v>11</v>
      </c>
      <c r="L131" cm="1">
        <f t="array" ref="L131">IFERROR(SUMPRODUCT((COUNTIF($D$2:$D$648,$D$2:$D$648)&gt;COUNTIF($D$2:$D$648,D131))/COUNTIF($D$2:$D$648,$D$2:$D$648))+1,"")</f>
        <v>11.999999999999961</v>
      </c>
    </row>
    <row r="132" spans="1:12" x14ac:dyDescent="0.3">
      <c r="A132" t="s">
        <v>104</v>
      </c>
      <c r="B132" s="3">
        <v>46274</v>
      </c>
      <c r="C132" t="s">
        <v>812</v>
      </c>
      <c r="D132" t="s">
        <v>117</v>
      </c>
      <c r="E132" t="s">
        <v>17</v>
      </c>
      <c r="F132" t="s">
        <v>444</v>
      </c>
      <c r="G132" t="s">
        <v>264</v>
      </c>
      <c r="H132" t="s">
        <v>11</v>
      </c>
      <c r="I132">
        <v>5</v>
      </c>
      <c r="J132" t="s">
        <v>44</v>
      </c>
      <c r="K132">
        <f t="shared" si="2"/>
        <v>8</v>
      </c>
      <c r="L132" cm="1">
        <f t="array" ref="L132">IFERROR(SUMPRODUCT((COUNTIF($D$2:$D$648,$D$2:$D$648)&gt;COUNTIF($D$2:$D$648,D132))/COUNTIF($D$2:$D$648,$D$2:$D$648))+1,"")</f>
        <v>24.999999999999957</v>
      </c>
    </row>
    <row r="133" spans="1:12" x14ac:dyDescent="0.3">
      <c r="A133" t="s">
        <v>104</v>
      </c>
      <c r="B133" s="3">
        <v>46274</v>
      </c>
      <c r="C133" t="s">
        <v>812</v>
      </c>
      <c r="D133" t="s">
        <v>56</v>
      </c>
      <c r="E133" t="s">
        <v>114</v>
      </c>
      <c r="F133" t="s">
        <v>307</v>
      </c>
      <c r="G133" t="s">
        <v>232</v>
      </c>
      <c r="H133" t="s">
        <v>11</v>
      </c>
      <c r="I133">
        <v>5</v>
      </c>
      <c r="J133" t="s">
        <v>12</v>
      </c>
      <c r="K133">
        <f t="shared" si="2"/>
        <v>6</v>
      </c>
      <c r="L133" cm="1">
        <f t="array" ref="L133">IFERROR(SUMPRODUCT((COUNTIF($D$2:$D$648,$D$2:$D$648)&gt;COUNTIF($D$2:$D$648,D133))/COUNTIF($D$2:$D$648,$D$2:$D$648))+1,"")</f>
        <v>39.000000000000114</v>
      </c>
    </row>
    <row r="134" spans="1:12" x14ac:dyDescent="0.3">
      <c r="A134" t="s">
        <v>104</v>
      </c>
      <c r="B134" s="3">
        <v>46274</v>
      </c>
      <c r="C134" t="s">
        <v>812</v>
      </c>
      <c r="D134" t="s">
        <v>33</v>
      </c>
      <c r="E134" t="s">
        <v>67</v>
      </c>
      <c r="F134" t="s">
        <v>445</v>
      </c>
      <c r="G134" t="s">
        <v>224</v>
      </c>
      <c r="H134" t="s">
        <v>11</v>
      </c>
      <c r="I134">
        <v>5</v>
      </c>
      <c r="J134" t="s">
        <v>49</v>
      </c>
      <c r="K134">
        <f t="shared" si="2"/>
        <v>10</v>
      </c>
      <c r="L134" cm="1">
        <f t="array" ref="L134">IFERROR(SUMPRODUCT((COUNTIF($D$2:$D$648,$D$2:$D$648)&gt;COUNTIF($D$2:$D$648,D134))/COUNTIF($D$2:$D$648,$D$2:$D$648))+1,"")</f>
        <v>17.999999999999975</v>
      </c>
    </row>
    <row r="135" spans="1:12" x14ac:dyDescent="0.3">
      <c r="A135" t="s">
        <v>104</v>
      </c>
      <c r="B135" s="3">
        <v>46275</v>
      </c>
      <c r="C135" t="s">
        <v>814</v>
      </c>
      <c r="D135" t="s">
        <v>118</v>
      </c>
      <c r="E135" t="s">
        <v>14</v>
      </c>
      <c r="F135" t="s">
        <v>446</v>
      </c>
      <c r="G135" t="s">
        <v>219</v>
      </c>
      <c r="H135" t="s">
        <v>11</v>
      </c>
      <c r="I135">
        <v>3</v>
      </c>
      <c r="J135" t="s">
        <v>28</v>
      </c>
      <c r="K135">
        <f t="shared" si="2"/>
        <v>1</v>
      </c>
      <c r="L135" cm="1">
        <f t="array" ref="L135">IFERROR(SUMPRODUCT((COUNTIF($D$2:$D$648,$D$2:$D$648)&gt;COUNTIF($D$2:$D$648,D135))/COUNTIF($D$2:$D$648,$D$2:$D$648))+1,"")</f>
        <v>80.000000000000426</v>
      </c>
    </row>
    <row r="136" spans="1:12" x14ac:dyDescent="0.3">
      <c r="A136" t="s">
        <v>104</v>
      </c>
      <c r="B136" s="3">
        <v>46275</v>
      </c>
      <c r="C136" t="s">
        <v>814</v>
      </c>
      <c r="D136" t="s">
        <v>96</v>
      </c>
      <c r="E136" t="s">
        <v>23</v>
      </c>
      <c r="F136" t="s">
        <v>447</v>
      </c>
      <c r="G136" t="s">
        <v>255</v>
      </c>
      <c r="H136" t="s">
        <v>11</v>
      </c>
      <c r="I136">
        <v>3</v>
      </c>
      <c r="J136" t="s">
        <v>28</v>
      </c>
      <c r="K136">
        <f t="shared" si="2"/>
        <v>8</v>
      </c>
      <c r="L136" cm="1">
        <f t="array" ref="L136">IFERROR(SUMPRODUCT((COUNTIF($D$2:$D$648,$D$2:$D$648)&gt;COUNTIF($D$2:$D$648,D136))/COUNTIF($D$2:$D$648,$D$2:$D$648))+1,"")</f>
        <v>24.999999999999957</v>
      </c>
    </row>
    <row r="137" spans="1:12" x14ac:dyDescent="0.3">
      <c r="A137" t="s">
        <v>104</v>
      </c>
      <c r="B137" s="3">
        <v>46275</v>
      </c>
      <c r="C137" t="s">
        <v>814</v>
      </c>
      <c r="D137" t="s">
        <v>117</v>
      </c>
      <c r="E137" t="s">
        <v>17</v>
      </c>
      <c r="F137" t="s">
        <v>444</v>
      </c>
      <c r="G137" t="s">
        <v>264</v>
      </c>
      <c r="H137" t="s">
        <v>11</v>
      </c>
      <c r="I137">
        <v>3</v>
      </c>
      <c r="J137" t="s">
        <v>54</v>
      </c>
      <c r="K137">
        <f t="shared" si="2"/>
        <v>8</v>
      </c>
      <c r="L137" cm="1">
        <f t="array" ref="L137">IFERROR(SUMPRODUCT((COUNTIF($D$2:$D$648,$D$2:$D$648)&gt;COUNTIF($D$2:$D$648,D137))/COUNTIF($D$2:$D$648,$D$2:$D$648))+1,"")</f>
        <v>24.999999999999957</v>
      </c>
    </row>
    <row r="138" spans="1:12" x14ac:dyDescent="0.3">
      <c r="A138" t="s">
        <v>104</v>
      </c>
      <c r="B138" s="3">
        <v>46275</v>
      </c>
      <c r="C138" t="s">
        <v>814</v>
      </c>
      <c r="D138" t="s">
        <v>116</v>
      </c>
      <c r="E138" t="s">
        <v>20</v>
      </c>
      <c r="F138" t="s">
        <v>441</v>
      </c>
      <c r="G138" t="s">
        <v>263</v>
      </c>
      <c r="H138" t="s">
        <v>11</v>
      </c>
      <c r="I138">
        <v>3</v>
      </c>
      <c r="J138" t="s">
        <v>28</v>
      </c>
      <c r="K138">
        <f t="shared" si="2"/>
        <v>5</v>
      </c>
      <c r="L138" cm="1">
        <f t="array" ref="L138">IFERROR(SUMPRODUCT((COUNTIF($D$2:$D$648,$D$2:$D$648)&gt;COUNTIF($D$2:$D$648,D138))/COUNTIF($D$2:$D$648,$D$2:$D$648))+1,"")</f>
        <v>43.000000000000199</v>
      </c>
    </row>
    <row r="139" spans="1:12" x14ac:dyDescent="0.3">
      <c r="A139" t="s">
        <v>104</v>
      </c>
      <c r="B139" s="3">
        <v>46275</v>
      </c>
      <c r="C139" t="s">
        <v>814</v>
      </c>
      <c r="D139" t="s">
        <v>119</v>
      </c>
      <c r="E139" t="s">
        <v>14</v>
      </c>
      <c r="F139" t="s">
        <v>448</v>
      </c>
      <c r="G139" t="s">
        <v>224</v>
      </c>
      <c r="H139" t="s">
        <v>11</v>
      </c>
      <c r="I139">
        <v>4</v>
      </c>
      <c r="J139" t="s">
        <v>30</v>
      </c>
      <c r="K139">
        <f t="shared" si="2"/>
        <v>1</v>
      </c>
      <c r="L139" cm="1">
        <f t="array" ref="L139">IFERROR(SUMPRODUCT((COUNTIF($D$2:$D$648,$D$2:$D$648)&gt;COUNTIF($D$2:$D$648,D139))/COUNTIF($D$2:$D$648,$D$2:$D$648))+1,"")</f>
        <v>80.000000000000426</v>
      </c>
    </row>
    <row r="140" spans="1:12" x14ac:dyDescent="0.3">
      <c r="A140" t="s">
        <v>104</v>
      </c>
      <c r="B140" s="3">
        <v>46275</v>
      </c>
      <c r="C140" t="s">
        <v>814</v>
      </c>
      <c r="D140" t="s">
        <v>120</v>
      </c>
      <c r="E140" t="s">
        <v>17</v>
      </c>
      <c r="F140" t="s">
        <v>449</v>
      </c>
      <c r="G140" t="s">
        <v>224</v>
      </c>
      <c r="H140" t="s">
        <v>11</v>
      </c>
      <c r="I140">
        <v>3</v>
      </c>
      <c r="J140" t="s">
        <v>29</v>
      </c>
      <c r="K140">
        <f t="shared" si="2"/>
        <v>1</v>
      </c>
      <c r="L140" cm="1">
        <f t="array" ref="L140">IFERROR(SUMPRODUCT((COUNTIF($D$2:$D$648,$D$2:$D$648)&gt;COUNTIF($D$2:$D$648,D140))/COUNTIF($D$2:$D$648,$D$2:$D$648))+1,"")</f>
        <v>80.000000000000426</v>
      </c>
    </row>
    <row r="141" spans="1:12" x14ac:dyDescent="0.3">
      <c r="A141" t="s">
        <v>104</v>
      </c>
      <c r="B141" s="3">
        <v>46276</v>
      </c>
      <c r="C141" t="s">
        <v>817</v>
      </c>
      <c r="D141" t="s">
        <v>101</v>
      </c>
      <c r="E141" t="s">
        <v>57</v>
      </c>
      <c r="F141" t="s">
        <v>308</v>
      </c>
      <c r="G141" t="s">
        <v>224</v>
      </c>
      <c r="H141" t="s">
        <v>11</v>
      </c>
      <c r="I141">
        <v>3</v>
      </c>
      <c r="J141" t="s">
        <v>59</v>
      </c>
      <c r="K141">
        <f t="shared" si="2"/>
        <v>5</v>
      </c>
      <c r="L141" cm="1">
        <f t="array" ref="L141">IFERROR(SUMPRODUCT((COUNTIF($D$2:$D$648,$D$2:$D$648)&gt;COUNTIF($D$2:$D$648,D141))/COUNTIF($D$2:$D$648,$D$2:$D$648))+1,"")</f>
        <v>43.000000000000199</v>
      </c>
    </row>
    <row r="142" spans="1:12" x14ac:dyDescent="0.3">
      <c r="A142" t="s">
        <v>104</v>
      </c>
      <c r="B142" s="3">
        <v>46276</v>
      </c>
      <c r="C142" t="s">
        <v>817</v>
      </c>
      <c r="D142" t="s">
        <v>121</v>
      </c>
      <c r="E142" t="s">
        <v>17</v>
      </c>
      <c r="F142" t="s">
        <v>450</v>
      </c>
      <c r="G142" t="s">
        <v>265</v>
      </c>
      <c r="H142" t="s">
        <v>11</v>
      </c>
      <c r="I142">
        <v>3</v>
      </c>
      <c r="J142" t="s">
        <v>59</v>
      </c>
      <c r="K142">
        <f t="shared" si="2"/>
        <v>8</v>
      </c>
      <c r="L142" cm="1">
        <f t="array" ref="L142">IFERROR(SUMPRODUCT((COUNTIF($D$2:$D$648,$D$2:$D$648)&gt;COUNTIF($D$2:$D$648,D142))/COUNTIF($D$2:$D$648,$D$2:$D$648))+1,"")</f>
        <v>24.999999999999957</v>
      </c>
    </row>
    <row r="143" spans="1:12" x14ac:dyDescent="0.3">
      <c r="A143" t="s">
        <v>104</v>
      </c>
      <c r="B143" s="3">
        <v>46276</v>
      </c>
      <c r="C143" t="s">
        <v>817</v>
      </c>
      <c r="D143" t="s">
        <v>73</v>
      </c>
      <c r="E143" t="s">
        <v>67</v>
      </c>
      <c r="F143" t="s">
        <v>451</v>
      </c>
      <c r="G143" t="s">
        <v>234</v>
      </c>
      <c r="H143" t="s">
        <v>11</v>
      </c>
      <c r="I143">
        <v>3</v>
      </c>
      <c r="J143" t="s">
        <v>59</v>
      </c>
      <c r="K143">
        <f t="shared" si="2"/>
        <v>11</v>
      </c>
      <c r="L143" cm="1">
        <f t="array" ref="L143">IFERROR(SUMPRODUCT((COUNTIF($D$2:$D$648,$D$2:$D$648)&gt;COUNTIF($D$2:$D$648,D143))/COUNTIF($D$2:$D$648,$D$2:$D$648))+1,"")</f>
        <v>11.999999999999961</v>
      </c>
    </row>
    <row r="144" spans="1:12" x14ac:dyDescent="0.3">
      <c r="A144" t="s">
        <v>104</v>
      </c>
      <c r="B144" s="3">
        <v>46276</v>
      </c>
      <c r="C144" t="s">
        <v>817</v>
      </c>
      <c r="D144" t="s">
        <v>122</v>
      </c>
      <c r="E144" t="s">
        <v>23</v>
      </c>
      <c r="F144" t="s">
        <v>452</v>
      </c>
      <c r="G144" t="s">
        <v>229</v>
      </c>
      <c r="H144" t="s">
        <v>11</v>
      </c>
      <c r="I144">
        <v>3</v>
      </c>
      <c r="J144" t="s">
        <v>59</v>
      </c>
      <c r="K144">
        <f t="shared" si="2"/>
        <v>1</v>
      </c>
      <c r="L144" cm="1">
        <f t="array" ref="L144">IFERROR(SUMPRODUCT((COUNTIF($D$2:$D$648,$D$2:$D$648)&gt;COUNTIF($D$2:$D$648,D144))/COUNTIF($D$2:$D$648,$D$2:$D$648))+1,"")</f>
        <v>80.000000000000426</v>
      </c>
    </row>
    <row r="145" spans="1:12" x14ac:dyDescent="0.3">
      <c r="A145" t="s">
        <v>104</v>
      </c>
      <c r="B145" s="3">
        <v>46276</v>
      </c>
      <c r="C145" t="s">
        <v>817</v>
      </c>
      <c r="D145" t="s">
        <v>123</v>
      </c>
      <c r="E145" t="s">
        <v>23</v>
      </c>
      <c r="F145" t="s">
        <v>453</v>
      </c>
      <c r="G145" t="s">
        <v>237</v>
      </c>
      <c r="H145" t="s">
        <v>11</v>
      </c>
      <c r="I145">
        <v>3</v>
      </c>
      <c r="J145" t="s">
        <v>59</v>
      </c>
      <c r="K145">
        <f t="shared" si="2"/>
        <v>1</v>
      </c>
      <c r="L145" cm="1">
        <f t="array" ref="L145">IFERROR(SUMPRODUCT((COUNTIF($D$2:$D$648,$D$2:$D$648)&gt;COUNTIF($D$2:$D$648,D145))/COUNTIF($D$2:$D$648,$D$2:$D$648))+1,"")</f>
        <v>80.000000000000426</v>
      </c>
    </row>
    <row r="146" spans="1:12" x14ac:dyDescent="0.3">
      <c r="A146" t="s">
        <v>104</v>
      </c>
      <c r="B146" s="3">
        <v>46277</v>
      </c>
      <c r="C146" t="s">
        <v>815</v>
      </c>
      <c r="D146" t="s">
        <v>33</v>
      </c>
      <c r="E146" t="s">
        <v>57</v>
      </c>
      <c r="F146" t="s">
        <v>309</v>
      </c>
      <c r="G146" t="s">
        <v>224</v>
      </c>
      <c r="H146" t="s">
        <v>11</v>
      </c>
      <c r="I146">
        <v>5</v>
      </c>
      <c r="J146" t="s">
        <v>49</v>
      </c>
      <c r="K146">
        <f t="shared" si="2"/>
        <v>10</v>
      </c>
      <c r="L146" cm="1">
        <f t="array" ref="L146">IFERROR(SUMPRODUCT((COUNTIF($D$2:$D$648,$D$2:$D$648)&gt;COUNTIF($D$2:$D$648,D146))/COUNTIF($D$2:$D$648,$D$2:$D$648))+1,"")</f>
        <v>17.999999999999975</v>
      </c>
    </row>
    <row r="147" spans="1:12" x14ac:dyDescent="0.3">
      <c r="A147" t="s">
        <v>104</v>
      </c>
      <c r="B147" s="3">
        <v>46277</v>
      </c>
      <c r="C147" t="s">
        <v>815</v>
      </c>
      <c r="D147" t="s">
        <v>117</v>
      </c>
      <c r="E147" t="s">
        <v>14</v>
      </c>
      <c r="F147" t="s">
        <v>454</v>
      </c>
      <c r="G147" t="s">
        <v>264</v>
      </c>
      <c r="H147" t="s">
        <v>11</v>
      </c>
      <c r="I147">
        <v>5</v>
      </c>
      <c r="J147" t="s">
        <v>44</v>
      </c>
      <c r="K147">
        <f t="shared" si="2"/>
        <v>8</v>
      </c>
      <c r="L147" cm="1">
        <f t="array" ref="L147">IFERROR(SUMPRODUCT((COUNTIF($D$2:$D$648,$D$2:$D$648)&gt;COUNTIF($D$2:$D$648,D147))/COUNTIF($D$2:$D$648,$D$2:$D$648))+1,"")</f>
        <v>24.999999999999957</v>
      </c>
    </row>
    <row r="148" spans="1:12" x14ac:dyDescent="0.3">
      <c r="A148" t="s">
        <v>104</v>
      </c>
      <c r="B148" s="3">
        <v>46277</v>
      </c>
      <c r="C148" t="s">
        <v>815</v>
      </c>
      <c r="D148" t="s">
        <v>95</v>
      </c>
      <c r="E148" t="s">
        <v>67</v>
      </c>
      <c r="F148" t="s">
        <v>455</v>
      </c>
      <c r="G148" t="s">
        <v>254</v>
      </c>
      <c r="H148" t="s">
        <v>11</v>
      </c>
      <c r="I148">
        <v>5</v>
      </c>
      <c r="J148" t="s">
        <v>75</v>
      </c>
      <c r="K148">
        <f t="shared" si="2"/>
        <v>11</v>
      </c>
      <c r="L148" cm="1">
        <f t="array" ref="L148">IFERROR(SUMPRODUCT((COUNTIF($D$2:$D$648,$D$2:$D$648)&gt;COUNTIF($D$2:$D$648,D148))/COUNTIF($D$2:$D$648,$D$2:$D$648))+1,"")</f>
        <v>11.999999999999961</v>
      </c>
    </row>
    <row r="149" spans="1:12" x14ac:dyDescent="0.3">
      <c r="A149" t="s">
        <v>104</v>
      </c>
      <c r="B149" s="3">
        <v>46277</v>
      </c>
      <c r="C149" t="s">
        <v>815</v>
      </c>
      <c r="D149" t="s">
        <v>99</v>
      </c>
      <c r="E149" t="s">
        <v>17</v>
      </c>
      <c r="F149" t="s">
        <v>456</v>
      </c>
      <c r="G149" t="s">
        <v>257</v>
      </c>
      <c r="H149" t="s">
        <v>11</v>
      </c>
      <c r="I149">
        <v>5</v>
      </c>
      <c r="J149" t="s">
        <v>24</v>
      </c>
      <c r="K149">
        <f t="shared" si="2"/>
        <v>3</v>
      </c>
      <c r="L149" cm="1">
        <f t="array" ref="L149">IFERROR(SUMPRODUCT((COUNTIF($D$2:$D$648,$D$2:$D$648)&gt;COUNTIF($D$2:$D$648,D149))/COUNTIF($D$2:$D$648,$D$2:$D$648))+1,"")</f>
        <v>58.000000000000348</v>
      </c>
    </row>
    <row r="150" spans="1:12" x14ac:dyDescent="0.3">
      <c r="A150" t="s">
        <v>104</v>
      </c>
      <c r="B150" s="3">
        <v>46277</v>
      </c>
      <c r="C150" t="s">
        <v>815</v>
      </c>
      <c r="D150" t="s">
        <v>69</v>
      </c>
      <c r="E150" t="s">
        <v>23</v>
      </c>
      <c r="F150" t="s">
        <v>457</v>
      </c>
      <c r="G150" t="s">
        <v>238</v>
      </c>
      <c r="H150" t="s">
        <v>11</v>
      </c>
      <c r="I150">
        <v>5</v>
      </c>
      <c r="J150" t="s">
        <v>12</v>
      </c>
      <c r="K150">
        <f t="shared" si="2"/>
        <v>17</v>
      </c>
      <c r="L150" cm="1">
        <f t="array" ref="L150">IFERROR(SUMPRODUCT((COUNTIF($D$2:$D$648,$D$2:$D$648)&gt;COUNTIF($D$2:$D$648,D150))/COUNTIF($D$2:$D$648,$D$2:$D$648))+1,"")</f>
        <v>5.9999999999999982</v>
      </c>
    </row>
    <row r="151" spans="1:12" x14ac:dyDescent="0.3">
      <c r="A151" t="s">
        <v>104</v>
      </c>
      <c r="B151" s="3">
        <v>46277</v>
      </c>
      <c r="C151" t="s">
        <v>815</v>
      </c>
      <c r="D151" t="s">
        <v>55</v>
      </c>
      <c r="E151" t="s">
        <v>84</v>
      </c>
      <c r="F151" t="s">
        <v>458</v>
      </c>
      <c r="G151" t="s">
        <v>231</v>
      </c>
      <c r="H151" t="s">
        <v>11</v>
      </c>
      <c r="I151">
        <v>5</v>
      </c>
      <c r="J151" t="s">
        <v>51</v>
      </c>
      <c r="K151">
        <f t="shared" si="2"/>
        <v>7</v>
      </c>
      <c r="L151" cm="1">
        <f t="array" ref="L151">IFERROR(SUMPRODUCT((COUNTIF($D$2:$D$648,$D$2:$D$648)&gt;COUNTIF($D$2:$D$648,D151))/COUNTIF($D$2:$D$648,$D$2:$D$648))+1,"")</f>
        <v>31.999999999999968</v>
      </c>
    </row>
    <row r="152" spans="1:12" x14ac:dyDescent="0.3">
      <c r="A152" t="s">
        <v>104</v>
      </c>
      <c r="B152" s="3">
        <v>46280</v>
      </c>
      <c r="C152" t="s">
        <v>816</v>
      </c>
      <c r="D152" t="s">
        <v>83</v>
      </c>
      <c r="E152" t="s">
        <v>67</v>
      </c>
      <c r="F152" t="s">
        <v>459</v>
      </c>
      <c r="G152" t="s">
        <v>247</v>
      </c>
      <c r="H152" t="s">
        <v>27</v>
      </c>
      <c r="I152">
        <v>5</v>
      </c>
      <c r="J152" t="s">
        <v>21</v>
      </c>
      <c r="K152">
        <f t="shared" si="2"/>
        <v>19</v>
      </c>
      <c r="L152" cm="1">
        <f t="array" ref="L152">IFERROR(SUMPRODUCT((COUNTIF($D$2:$D$648,$D$2:$D$648)&gt;COUNTIF($D$2:$D$648,D152))/COUNTIF($D$2:$D$648,$D$2:$D$648))+1,"")</f>
        <v>4</v>
      </c>
    </row>
    <row r="153" spans="1:12" x14ac:dyDescent="0.3">
      <c r="A153" t="s">
        <v>104</v>
      </c>
      <c r="B153" s="3">
        <v>46280</v>
      </c>
      <c r="C153" t="s">
        <v>816</v>
      </c>
      <c r="D153" t="s">
        <v>74</v>
      </c>
      <c r="E153" t="s">
        <v>20</v>
      </c>
      <c r="F153" t="s">
        <v>460</v>
      </c>
      <c r="G153" t="s">
        <v>241</v>
      </c>
      <c r="H153" t="s">
        <v>11</v>
      </c>
      <c r="I153">
        <v>5</v>
      </c>
      <c r="J153" t="s">
        <v>75</v>
      </c>
      <c r="K153">
        <f t="shared" si="2"/>
        <v>9</v>
      </c>
      <c r="L153" cm="1">
        <f t="array" ref="L153">IFERROR(SUMPRODUCT((COUNTIF($D$2:$D$648,$D$2:$D$648)&gt;COUNTIF($D$2:$D$648,D153))/COUNTIF($D$2:$D$648,$D$2:$D$648))+1,"")</f>
        <v>21.999999999999968</v>
      </c>
    </row>
    <row r="154" spans="1:12" x14ac:dyDescent="0.3">
      <c r="A154" t="s">
        <v>104</v>
      </c>
      <c r="B154" s="3">
        <v>46280</v>
      </c>
      <c r="C154" t="s">
        <v>816</v>
      </c>
      <c r="D154" t="s">
        <v>110</v>
      </c>
      <c r="E154" t="s">
        <v>23</v>
      </c>
      <c r="F154" t="s">
        <v>461</v>
      </c>
      <c r="G154" t="s">
        <v>262</v>
      </c>
      <c r="H154" t="s">
        <v>11</v>
      </c>
      <c r="I154">
        <v>5</v>
      </c>
      <c r="J154" t="s">
        <v>90</v>
      </c>
      <c r="K154">
        <f t="shared" si="2"/>
        <v>11</v>
      </c>
      <c r="L154" cm="1">
        <f t="array" ref="L154">IFERROR(SUMPRODUCT((COUNTIF($D$2:$D$648,$D$2:$D$648)&gt;COUNTIF($D$2:$D$648,D154))/COUNTIF($D$2:$D$648,$D$2:$D$648))+1,"")</f>
        <v>11.999999999999961</v>
      </c>
    </row>
    <row r="155" spans="1:12" x14ac:dyDescent="0.3">
      <c r="A155" t="s">
        <v>104</v>
      </c>
      <c r="B155" s="3">
        <v>46280</v>
      </c>
      <c r="C155" t="s">
        <v>816</v>
      </c>
      <c r="D155" t="s">
        <v>124</v>
      </c>
      <c r="E155" t="s">
        <v>14</v>
      </c>
      <c r="F155" t="s">
        <v>462</v>
      </c>
      <c r="H155" t="s">
        <v>11</v>
      </c>
      <c r="I155">
        <v>7</v>
      </c>
      <c r="J155" t="s">
        <v>15</v>
      </c>
      <c r="K155">
        <f t="shared" si="2"/>
        <v>4</v>
      </c>
      <c r="L155" cm="1">
        <f t="array" ref="L155">IFERROR(SUMPRODUCT((COUNTIF($D$2:$D$648,$D$2:$D$648)&gt;COUNTIF($D$2:$D$648,D155))/COUNTIF($D$2:$D$648,$D$2:$D$648))+1,"")</f>
        <v>52.000000000000306</v>
      </c>
    </row>
    <row r="156" spans="1:12" x14ac:dyDescent="0.3">
      <c r="A156" t="s">
        <v>104</v>
      </c>
      <c r="B156" s="3">
        <v>46280</v>
      </c>
      <c r="C156" t="s">
        <v>816</v>
      </c>
      <c r="D156" t="s">
        <v>92</v>
      </c>
      <c r="E156" t="s">
        <v>84</v>
      </c>
      <c r="F156" t="s">
        <v>463</v>
      </c>
      <c r="H156" t="s">
        <v>11</v>
      </c>
      <c r="I156">
        <v>7</v>
      </c>
      <c r="J156" t="s">
        <v>15</v>
      </c>
      <c r="K156">
        <f t="shared" si="2"/>
        <v>4</v>
      </c>
      <c r="L156" cm="1">
        <f t="array" ref="L156">IFERROR(SUMPRODUCT((COUNTIF($D$2:$D$648,$D$2:$D$648)&gt;COUNTIF($D$2:$D$648,D156))/COUNTIF($D$2:$D$648,$D$2:$D$648))+1,"")</f>
        <v>52.000000000000306</v>
      </c>
    </row>
    <row r="157" spans="1:12" x14ac:dyDescent="0.3">
      <c r="A157" t="s">
        <v>104</v>
      </c>
      <c r="B157" s="3">
        <v>46281</v>
      </c>
      <c r="C157" t="s">
        <v>812</v>
      </c>
      <c r="D157" t="s">
        <v>91</v>
      </c>
      <c r="E157" t="s">
        <v>20</v>
      </c>
      <c r="F157" t="s">
        <v>464</v>
      </c>
      <c r="G157" t="s">
        <v>251</v>
      </c>
      <c r="H157" t="s">
        <v>11</v>
      </c>
      <c r="I157">
        <v>5</v>
      </c>
      <c r="J157" t="s">
        <v>51</v>
      </c>
      <c r="K157">
        <f t="shared" si="2"/>
        <v>5</v>
      </c>
      <c r="L157" cm="1">
        <f t="array" ref="L157">IFERROR(SUMPRODUCT((COUNTIF($D$2:$D$648,$D$2:$D$648)&gt;COUNTIF($D$2:$D$648,D157))/COUNTIF($D$2:$D$648,$D$2:$D$648))+1,"")</f>
        <v>43.000000000000199</v>
      </c>
    </row>
    <row r="158" spans="1:12" x14ac:dyDescent="0.3">
      <c r="A158" t="s">
        <v>104</v>
      </c>
      <c r="B158" s="3">
        <v>46281</v>
      </c>
      <c r="C158" t="s">
        <v>812</v>
      </c>
      <c r="D158" t="s">
        <v>13</v>
      </c>
      <c r="E158" t="s">
        <v>17</v>
      </c>
      <c r="G158" t="s">
        <v>218</v>
      </c>
      <c r="H158" t="s">
        <v>11</v>
      </c>
      <c r="I158">
        <v>7</v>
      </c>
      <c r="J158" t="s">
        <v>15</v>
      </c>
      <c r="K158">
        <f t="shared" si="2"/>
        <v>47</v>
      </c>
      <c r="L158" cm="1">
        <f t="array" ref="L158">IFERROR(SUMPRODUCT((COUNTIF($D$2:$D$648,$D$2:$D$648)&gt;COUNTIF($D$2:$D$648,D158))/COUNTIF($D$2:$D$648,$D$2:$D$648))+1,"")</f>
        <v>1</v>
      </c>
    </row>
    <row r="159" spans="1:12" x14ac:dyDescent="0.3">
      <c r="A159" t="s">
        <v>104</v>
      </c>
      <c r="B159" s="3">
        <v>46281</v>
      </c>
      <c r="C159" t="s">
        <v>812</v>
      </c>
      <c r="D159" t="s">
        <v>125</v>
      </c>
      <c r="E159" t="s">
        <v>67</v>
      </c>
      <c r="G159" t="s">
        <v>254</v>
      </c>
      <c r="H159" t="s">
        <v>11</v>
      </c>
      <c r="I159">
        <v>5</v>
      </c>
      <c r="J159" t="s">
        <v>75</v>
      </c>
      <c r="K159">
        <f t="shared" si="2"/>
        <v>1</v>
      </c>
      <c r="L159" cm="1">
        <f t="array" ref="L159">IFERROR(SUMPRODUCT((COUNTIF($D$2:$D$648,$D$2:$D$648)&gt;COUNTIF($D$2:$D$648,D159))/COUNTIF($D$2:$D$648,$D$2:$D$648))+1,"")</f>
        <v>80.000000000000426</v>
      </c>
    </row>
    <row r="160" spans="1:12" x14ac:dyDescent="0.3">
      <c r="A160" t="s">
        <v>104</v>
      </c>
      <c r="B160" s="3">
        <v>46282</v>
      </c>
      <c r="C160" t="s">
        <v>814</v>
      </c>
      <c r="D160" t="s">
        <v>52</v>
      </c>
      <c r="E160" t="s">
        <v>114</v>
      </c>
      <c r="F160" t="s">
        <v>310</v>
      </c>
      <c r="G160" t="s">
        <v>230</v>
      </c>
      <c r="H160" t="s">
        <v>27</v>
      </c>
      <c r="I160">
        <v>3</v>
      </c>
      <c r="J160" t="s">
        <v>28</v>
      </c>
      <c r="K160">
        <f t="shared" si="2"/>
        <v>11</v>
      </c>
      <c r="L160" cm="1">
        <f t="array" ref="L160">IFERROR(SUMPRODUCT((COUNTIF($D$2:$D$648,$D$2:$D$648)&gt;COUNTIF($D$2:$D$648,D160))/COUNTIF($D$2:$D$648,$D$2:$D$648))+1,"")</f>
        <v>11.999999999999961</v>
      </c>
    </row>
    <row r="161" spans="1:12" x14ac:dyDescent="0.3">
      <c r="A161" t="s">
        <v>104</v>
      </c>
      <c r="B161" s="3">
        <v>46282</v>
      </c>
      <c r="C161" t="s">
        <v>814</v>
      </c>
      <c r="D161" t="s">
        <v>126</v>
      </c>
      <c r="E161" t="s">
        <v>17</v>
      </c>
      <c r="F161" t="s">
        <v>465</v>
      </c>
      <c r="G161" t="s">
        <v>266</v>
      </c>
      <c r="H161" t="s">
        <v>11</v>
      </c>
      <c r="I161">
        <v>3</v>
      </c>
      <c r="J161" t="s">
        <v>98</v>
      </c>
      <c r="K161">
        <f t="shared" si="2"/>
        <v>25</v>
      </c>
      <c r="L161" cm="1">
        <f t="array" ref="L161">IFERROR(SUMPRODUCT((COUNTIF($D$2:$D$648,$D$2:$D$648)&gt;COUNTIF($D$2:$D$648,D161))/COUNTIF($D$2:$D$648,$D$2:$D$648))+1,"")</f>
        <v>2.0000000000000004</v>
      </c>
    </row>
    <row r="162" spans="1:12" x14ac:dyDescent="0.3">
      <c r="A162" t="s">
        <v>104</v>
      </c>
      <c r="B162" s="3">
        <v>46282</v>
      </c>
      <c r="C162" t="s">
        <v>814</v>
      </c>
      <c r="D162" t="s">
        <v>48</v>
      </c>
      <c r="E162" t="s">
        <v>67</v>
      </c>
      <c r="F162" t="s">
        <v>466</v>
      </c>
      <c r="G162" t="s">
        <v>228</v>
      </c>
      <c r="H162" t="s">
        <v>11</v>
      </c>
      <c r="I162">
        <v>3</v>
      </c>
      <c r="J162" t="s">
        <v>29</v>
      </c>
      <c r="K162">
        <f t="shared" si="2"/>
        <v>18</v>
      </c>
      <c r="L162" cm="1">
        <f t="array" ref="L162">IFERROR(SUMPRODUCT((COUNTIF($D$2:$D$648,$D$2:$D$648)&gt;COUNTIF($D$2:$D$648,D162))/COUNTIF($D$2:$D$648,$D$2:$D$648))+1,"")</f>
        <v>5.0000000000000009</v>
      </c>
    </row>
    <row r="163" spans="1:12" x14ac:dyDescent="0.3">
      <c r="A163" t="s">
        <v>104</v>
      </c>
      <c r="B163" s="3">
        <v>46283</v>
      </c>
      <c r="C163" t="s">
        <v>817</v>
      </c>
      <c r="D163" t="s">
        <v>52</v>
      </c>
      <c r="E163" t="s">
        <v>23</v>
      </c>
      <c r="F163" t="s">
        <v>467</v>
      </c>
      <c r="G163" t="s">
        <v>230</v>
      </c>
      <c r="H163" t="s">
        <v>27</v>
      </c>
      <c r="I163">
        <v>3</v>
      </c>
      <c r="J163" t="s">
        <v>37</v>
      </c>
      <c r="K163">
        <f t="shared" si="2"/>
        <v>11</v>
      </c>
      <c r="L163" cm="1">
        <f t="array" ref="L163">IFERROR(SUMPRODUCT((COUNTIF($D$2:$D$648,$D$2:$D$648)&gt;COUNTIF($D$2:$D$648,D163))/COUNTIF($D$2:$D$648,$D$2:$D$648))+1,"")</f>
        <v>11.999999999999961</v>
      </c>
    </row>
    <row r="164" spans="1:12" x14ac:dyDescent="0.3">
      <c r="A164" t="s">
        <v>104</v>
      </c>
      <c r="B164" s="3">
        <v>46283</v>
      </c>
      <c r="C164" t="s">
        <v>817</v>
      </c>
      <c r="D164" t="s">
        <v>79</v>
      </c>
      <c r="E164" t="s">
        <v>20</v>
      </c>
      <c r="F164" t="s">
        <v>468</v>
      </c>
      <c r="H164" t="s">
        <v>27</v>
      </c>
      <c r="I164">
        <v>3</v>
      </c>
      <c r="J164" t="s">
        <v>35</v>
      </c>
      <c r="K164">
        <f t="shared" si="2"/>
        <v>8</v>
      </c>
      <c r="L164" cm="1">
        <f t="array" ref="L164">IFERROR(SUMPRODUCT((COUNTIF($D$2:$D$648,$D$2:$D$648)&gt;COUNTIF($D$2:$D$648,D164))/COUNTIF($D$2:$D$648,$D$2:$D$648))+1,"")</f>
        <v>24.999999999999957</v>
      </c>
    </row>
    <row r="165" spans="1:12" x14ac:dyDescent="0.3">
      <c r="A165" t="s">
        <v>104</v>
      </c>
      <c r="B165" s="3">
        <v>46283</v>
      </c>
      <c r="C165" t="s">
        <v>817</v>
      </c>
      <c r="D165" t="s">
        <v>127</v>
      </c>
      <c r="E165" t="s">
        <v>114</v>
      </c>
      <c r="F165" t="s">
        <v>311</v>
      </c>
      <c r="G165" t="s">
        <v>225</v>
      </c>
      <c r="H165" t="s">
        <v>11</v>
      </c>
      <c r="I165">
        <v>4</v>
      </c>
      <c r="J165" t="s">
        <v>40</v>
      </c>
      <c r="K165">
        <f t="shared" si="2"/>
        <v>1</v>
      </c>
      <c r="L165" cm="1">
        <f t="array" ref="L165">IFERROR(SUMPRODUCT((COUNTIF($D$2:$D$648,$D$2:$D$648)&gt;COUNTIF($D$2:$D$648,D165))/COUNTIF($D$2:$D$648,$D$2:$D$648))+1,"")</f>
        <v>80.000000000000426</v>
      </c>
    </row>
    <row r="166" spans="1:12" x14ac:dyDescent="0.3">
      <c r="A166" t="s">
        <v>104</v>
      </c>
      <c r="B166" s="3">
        <v>46283</v>
      </c>
      <c r="C166" t="s">
        <v>817</v>
      </c>
      <c r="D166" t="s">
        <v>128</v>
      </c>
      <c r="E166" t="s">
        <v>14</v>
      </c>
      <c r="F166" t="s">
        <v>469</v>
      </c>
      <c r="G166" t="s">
        <v>225</v>
      </c>
      <c r="H166" t="s">
        <v>11</v>
      </c>
      <c r="I166">
        <v>4</v>
      </c>
      <c r="J166" t="s">
        <v>40</v>
      </c>
      <c r="K166">
        <f t="shared" si="2"/>
        <v>2</v>
      </c>
      <c r="L166" cm="1">
        <f t="array" ref="L166">IFERROR(SUMPRODUCT((COUNTIF($D$2:$D$648,$D$2:$D$648)&gt;COUNTIF($D$2:$D$648,D166))/COUNTIF($D$2:$D$648,$D$2:$D$648))+1,"")</f>
        <v>65.000000000000426</v>
      </c>
    </row>
    <row r="167" spans="1:12" x14ac:dyDescent="0.3">
      <c r="A167" t="s">
        <v>104</v>
      </c>
      <c r="B167" s="3">
        <v>46283</v>
      </c>
      <c r="C167" t="s">
        <v>817</v>
      </c>
      <c r="D167" t="s">
        <v>73</v>
      </c>
      <c r="E167" t="s">
        <v>67</v>
      </c>
      <c r="F167" t="s">
        <v>470</v>
      </c>
      <c r="G167" t="s">
        <v>234</v>
      </c>
      <c r="H167" t="s">
        <v>11</v>
      </c>
      <c r="I167">
        <v>3</v>
      </c>
      <c r="J167" t="s">
        <v>59</v>
      </c>
      <c r="K167">
        <f t="shared" si="2"/>
        <v>11</v>
      </c>
      <c r="L167" cm="1">
        <f t="array" ref="L167">IFERROR(SUMPRODUCT((COUNTIF($D$2:$D$648,$D$2:$D$648)&gt;COUNTIF($D$2:$D$648,D167))/COUNTIF($D$2:$D$648,$D$2:$D$648))+1,"")</f>
        <v>11.999999999999961</v>
      </c>
    </row>
    <row r="168" spans="1:12" x14ac:dyDescent="0.3">
      <c r="A168" t="s">
        <v>104</v>
      </c>
      <c r="B168" s="3">
        <v>46283</v>
      </c>
      <c r="C168" t="s">
        <v>817</v>
      </c>
      <c r="D168" t="s">
        <v>129</v>
      </c>
      <c r="E168" t="s">
        <v>17</v>
      </c>
      <c r="F168" t="s">
        <v>471</v>
      </c>
      <c r="G168" t="s">
        <v>267</v>
      </c>
      <c r="H168" t="s">
        <v>11</v>
      </c>
      <c r="I168">
        <v>3</v>
      </c>
      <c r="J168" t="s">
        <v>59</v>
      </c>
      <c r="K168">
        <f t="shared" si="2"/>
        <v>5</v>
      </c>
      <c r="L168" cm="1">
        <f t="array" ref="L168">IFERROR(SUMPRODUCT((COUNTIF($D$2:$D$648,$D$2:$D$648)&gt;COUNTIF($D$2:$D$648,D168))/COUNTIF($D$2:$D$648,$D$2:$D$648))+1,"")</f>
        <v>43.000000000000199</v>
      </c>
    </row>
    <row r="169" spans="1:12" x14ac:dyDescent="0.3">
      <c r="A169" t="s">
        <v>104</v>
      </c>
      <c r="B169" s="3">
        <v>46283</v>
      </c>
      <c r="C169" t="s">
        <v>817</v>
      </c>
      <c r="D169" t="s">
        <v>130</v>
      </c>
      <c r="E169" t="s">
        <v>84</v>
      </c>
      <c r="F169" t="s">
        <v>472</v>
      </c>
      <c r="H169" t="s">
        <v>11</v>
      </c>
      <c r="I169">
        <v>2</v>
      </c>
      <c r="J169" t="s">
        <v>131</v>
      </c>
      <c r="K169">
        <f t="shared" si="2"/>
        <v>1</v>
      </c>
      <c r="L169" cm="1">
        <f t="array" ref="L169">IFERROR(SUMPRODUCT((COUNTIF($D$2:$D$648,$D$2:$D$648)&gt;COUNTIF($D$2:$D$648,D169))/COUNTIF($D$2:$D$648,$D$2:$D$648))+1,"")</f>
        <v>80.000000000000426</v>
      </c>
    </row>
    <row r="170" spans="1:12" x14ac:dyDescent="0.3">
      <c r="A170" t="s">
        <v>104</v>
      </c>
      <c r="B170" s="3">
        <v>46284</v>
      </c>
      <c r="C170" t="s">
        <v>815</v>
      </c>
      <c r="D170" t="s">
        <v>52</v>
      </c>
      <c r="E170" t="s">
        <v>23</v>
      </c>
      <c r="F170" t="s">
        <v>473</v>
      </c>
      <c r="G170" t="s">
        <v>230</v>
      </c>
      <c r="H170" t="s">
        <v>27</v>
      </c>
      <c r="I170">
        <v>5</v>
      </c>
      <c r="J170" t="s">
        <v>18</v>
      </c>
      <c r="K170">
        <f t="shared" si="2"/>
        <v>11</v>
      </c>
      <c r="L170" cm="1">
        <f t="array" ref="L170">IFERROR(SUMPRODUCT((COUNTIF($D$2:$D$648,$D$2:$D$648)&gt;COUNTIF($D$2:$D$648,D170))/COUNTIF($D$2:$D$648,$D$2:$D$648))+1,"")</f>
        <v>11.999999999999961</v>
      </c>
    </row>
    <row r="171" spans="1:12" x14ac:dyDescent="0.3">
      <c r="A171" t="s">
        <v>104</v>
      </c>
      <c r="B171" s="3">
        <v>46284</v>
      </c>
      <c r="C171" t="s">
        <v>815</v>
      </c>
      <c r="D171" t="s">
        <v>13</v>
      </c>
      <c r="E171" t="s">
        <v>84</v>
      </c>
      <c r="F171" t="s">
        <v>474</v>
      </c>
      <c r="G171" t="s">
        <v>218</v>
      </c>
      <c r="H171" t="s">
        <v>11</v>
      </c>
      <c r="I171">
        <v>7</v>
      </c>
      <c r="J171" t="s">
        <v>15</v>
      </c>
      <c r="K171">
        <f t="shared" si="2"/>
        <v>47</v>
      </c>
      <c r="L171" cm="1">
        <f t="array" ref="L171">IFERROR(SUMPRODUCT((COUNTIF($D$2:$D$648,$D$2:$D$648)&gt;COUNTIF($D$2:$D$648,D171))/COUNTIF($D$2:$D$648,$D$2:$D$648))+1,"")</f>
        <v>1</v>
      </c>
    </row>
    <row r="172" spans="1:12" x14ac:dyDescent="0.3">
      <c r="A172" t="s">
        <v>104</v>
      </c>
      <c r="B172" s="3">
        <v>46284</v>
      </c>
      <c r="C172" t="s">
        <v>815</v>
      </c>
      <c r="D172" t="s">
        <v>132</v>
      </c>
      <c r="E172" t="s">
        <v>14</v>
      </c>
      <c r="F172" t="s">
        <v>475</v>
      </c>
      <c r="G172" t="s">
        <v>266</v>
      </c>
      <c r="H172" t="s">
        <v>11</v>
      </c>
      <c r="I172">
        <v>5</v>
      </c>
      <c r="J172" t="s">
        <v>75</v>
      </c>
      <c r="K172">
        <f t="shared" si="2"/>
        <v>2</v>
      </c>
      <c r="L172" cm="1">
        <f t="array" ref="L172">IFERROR(SUMPRODUCT((COUNTIF($D$2:$D$648,$D$2:$D$648)&gt;COUNTIF($D$2:$D$648,D172))/COUNTIF($D$2:$D$648,$D$2:$D$648))+1,"")</f>
        <v>65.000000000000426</v>
      </c>
    </row>
    <row r="173" spans="1:12" x14ac:dyDescent="0.3">
      <c r="A173" t="s">
        <v>104</v>
      </c>
      <c r="B173" s="3">
        <v>46284</v>
      </c>
      <c r="C173" t="s">
        <v>815</v>
      </c>
      <c r="D173" t="s">
        <v>48</v>
      </c>
      <c r="E173" t="s">
        <v>67</v>
      </c>
      <c r="F173" t="s">
        <v>476</v>
      </c>
      <c r="G173" t="s">
        <v>228</v>
      </c>
      <c r="H173" t="s">
        <v>11</v>
      </c>
      <c r="I173">
        <v>5</v>
      </c>
      <c r="J173" t="s">
        <v>49</v>
      </c>
      <c r="K173">
        <f t="shared" si="2"/>
        <v>18</v>
      </c>
      <c r="L173" cm="1">
        <f t="array" ref="L173">IFERROR(SUMPRODUCT((COUNTIF($D$2:$D$648,$D$2:$D$648)&gt;COUNTIF($D$2:$D$648,D173))/COUNTIF($D$2:$D$648,$D$2:$D$648))+1,"")</f>
        <v>5.0000000000000009</v>
      </c>
    </row>
    <row r="174" spans="1:12" x14ac:dyDescent="0.3">
      <c r="A174" t="s">
        <v>104</v>
      </c>
      <c r="B174" s="3">
        <v>46287</v>
      </c>
      <c r="C174" t="s">
        <v>816</v>
      </c>
      <c r="D174" t="s">
        <v>133</v>
      </c>
      <c r="E174" t="s">
        <v>23</v>
      </c>
      <c r="F174" t="s">
        <v>477</v>
      </c>
      <c r="G174" t="s">
        <v>268</v>
      </c>
      <c r="H174" t="s">
        <v>27</v>
      </c>
      <c r="I174">
        <v>5</v>
      </c>
      <c r="J174" t="s">
        <v>18</v>
      </c>
      <c r="K174">
        <f t="shared" si="2"/>
        <v>6</v>
      </c>
      <c r="L174" cm="1">
        <f t="array" ref="L174">IFERROR(SUMPRODUCT((COUNTIF($D$2:$D$648,$D$2:$D$648)&gt;COUNTIF($D$2:$D$648,D174))/COUNTIF($D$2:$D$648,$D$2:$D$648))+1,"")</f>
        <v>39.000000000000114</v>
      </c>
    </row>
    <row r="175" spans="1:12" x14ac:dyDescent="0.3">
      <c r="A175" t="s">
        <v>104</v>
      </c>
      <c r="B175" s="3">
        <v>46287</v>
      </c>
      <c r="C175" t="s">
        <v>816</v>
      </c>
      <c r="D175" t="s">
        <v>13</v>
      </c>
      <c r="E175" t="s">
        <v>23</v>
      </c>
      <c r="G175" t="s">
        <v>218</v>
      </c>
      <c r="H175" t="s">
        <v>11</v>
      </c>
      <c r="I175">
        <v>7</v>
      </c>
      <c r="J175" t="s">
        <v>15</v>
      </c>
      <c r="K175">
        <f t="shared" si="2"/>
        <v>47</v>
      </c>
      <c r="L175" cm="1">
        <f t="array" ref="L175">IFERROR(SUMPRODUCT((COUNTIF($D$2:$D$648,$D$2:$D$648)&gt;COUNTIF($D$2:$D$648,D175))/COUNTIF($D$2:$D$648,$D$2:$D$648))+1,"")</f>
        <v>1</v>
      </c>
    </row>
    <row r="176" spans="1:12" x14ac:dyDescent="0.3">
      <c r="A176" t="s">
        <v>104</v>
      </c>
      <c r="B176" s="3">
        <v>46287</v>
      </c>
      <c r="C176" t="s">
        <v>816</v>
      </c>
      <c r="D176" t="s">
        <v>134</v>
      </c>
      <c r="E176" t="s">
        <v>14</v>
      </c>
      <c r="F176" t="s">
        <v>478</v>
      </c>
      <c r="G176" t="s">
        <v>269</v>
      </c>
      <c r="H176" t="s">
        <v>11</v>
      </c>
      <c r="I176">
        <v>5</v>
      </c>
      <c r="J176" t="s">
        <v>135</v>
      </c>
      <c r="K176">
        <f t="shared" si="2"/>
        <v>3</v>
      </c>
      <c r="L176" cm="1">
        <f t="array" ref="L176">IFERROR(SUMPRODUCT((COUNTIF($D$2:$D$648,$D$2:$D$648)&gt;COUNTIF($D$2:$D$648,D176))/COUNTIF($D$2:$D$648,$D$2:$D$648))+1,"")</f>
        <v>58.000000000000348</v>
      </c>
    </row>
    <row r="177" spans="1:12" x14ac:dyDescent="0.3">
      <c r="A177" t="s">
        <v>104</v>
      </c>
      <c r="B177" s="3">
        <v>46287</v>
      </c>
      <c r="C177" t="s">
        <v>816</v>
      </c>
      <c r="D177" t="s">
        <v>136</v>
      </c>
      <c r="E177" t="s">
        <v>20</v>
      </c>
      <c r="F177" t="s">
        <v>479</v>
      </c>
      <c r="G177" t="s">
        <v>237</v>
      </c>
      <c r="H177" t="s">
        <v>11</v>
      </c>
      <c r="I177">
        <v>5</v>
      </c>
      <c r="J177" t="s">
        <v>65</v>
      </c>
      <c r="K177">
        <f t="shared" si="2"/>
        <v>1</v>
      </c>
      <c r="L177" cm="1">
        <f t="array" ref="L177">IFERROR(SUMPRODUCT((COUNTIF($D$2:$D$648,$D$2:$D$648)&gt;COUNTIF($D$2:$D$648,D177))/COUNTIF($D$2:$D$648,$D$2:$D$648))+1,"")</f>
        <v>80.000000000000426</v>
      </c>
    </row>
    <row r="178" spans="1:12" x14ac:dyDescent="0.3">
      <c r="A178" t="s">
        <v>104</v>
      </c>
      <c r="B178" s="3">
        <v>46287</v>
      </c>
      <c r="C178" t="s">
        <v>816</v>
      </c>
      <c r="D178" t="s">
        <v>117</v>
      </c>
      <c r="E178" t="s">
        <v>17</v>
      </c>
      <c r="F178" t="s">
        <v>480</v>
      </c>
      <c r="G178" t="s">
        <v>264</v>
      </c>
      <c r="H178" t="s">
        <v>11</v>
      </c>
      <c r="I178">
        <v>5</v>
      </c>
      <c r="J178" t="s">
        <v>44</v>
      </c>
      <c r="K178">
        <f t="shared" si="2"/>
        <v>8</v>
      </c>
      <c r="L178" cm="1">
        <f t="array" ref="L178">IFERROR(SUMPRODUCT((COUNTIF($D$2:$D$648,$D$2:$D$648)&gt;COUNTIF($D$2:$D$648,D178))/COUNTIF($D$2:$D$648,$D$2:$D$648))+1,"")</f>
        <v>24.999999999999957</v>
      </c>
    </row>
    <row r="179" spans="1:12" x14ac:dyDescent="0.3">
      <c r="A179" t="s">
        <v>104</v>
      </c>
      <c r="B179" s="3">
        <v>46287</v>
      </c>
      <c r="C179" t="s">
        <v>816</v>
      </c>
      <c r="D179" t="s">
        <v>94</v>
      </c>
      <c r="E179" t="s">
        <v>67</v>
      </c>
      <c r="F179" t="s">
        <v>481</v>
      </c>
      <c r="G179" t="s">
        <v>253</v>
      </c>
      <c r="H179" t="s">
        <v>11</v>
      </c>
      <c r="I179">
        <v>5</v>
      </c>
      <c r="J179" t="s">
        <v>65</v>
      </c>
      <c r="K179">
        <f t="shared" si="2"/>
        <v>10</v>
      </c>
      <c r="L179" cm="1">
        <f t="array" ref="L179">IFERROR(SUMPRODUCT((COUNTIF($D$2:$D$648,$D$2:$D$648)&gt;COUNTIF($D$2:$D$648,D179))/COUNTIF($D$2:$D$648,$D$2:$D$648))+1,"")</f>
        <v>17.999999999999975</v>
      </c>
    </row>
    <row r="180" spans="1:12" x14ac:dyDescent="0.3">
      <c r="A180" t="s">
        <v>104</v>
      </c>
      <c r="B180" s="3">
        <v>46288</v>
      </c>
      <c r="C180" t="s">
        <v>812</v>
      </c>
      <c r="D180" t="s">
        <v>79</v>
      </c>
      <c r="E180" t="s">
        <v>17</v>
      </c>
      <c r="F180" t="s">
        <v>482</v>
      </c>
      <c r="G180" t="s">
        <v>222</v>
      </c>
      <c r="H180" t="s">
        <v>27</v>
      </c>
      <c r="I180">
        <v>5</v>
      </c>
      <c r="J180" t="s">
        <v>21</v>
      </c>
      <c r="K180">
        <f t="shared" si="2"/>
        <v>8</v>
      </c>
      <c r="L180" cm="1">
        <f t="array" ref="L180">IFERROR(SUMPRODUCT((COUNTIF($D$2:$D$648,$D$2:$D$648)&gt;COUNTIF($D$2:$D$648,D180))/COUNTIF($D$2:$D$648,$D$2:$D$648))+1,"")</f>
        <v>24.999999999999957</v>
      </c>
    </row>
    <row r="181" spans="1:12" x14ac:dyDescent="0.3">
      <c r="A181" t="s">
        <v>104</v>
      </c>
      <c r="B181" s="3">
        <v>46288</v>
      </c>
      <c r="C181" t="s">
        <v>812</v>
      </c>
      <c r="D181" t="s">
        <v>83</v>
      </c>
      <c r="E181" t="s">
        <v>20</v>
      </c>
      <c r="F181" t="s">
        <v>483</v>
      </c>
      <c r="H181" t="s">
        <v>27</v>
      </c>
      <c r="I181">
        <v>5</v>
      </c>
      <c r="J181" t="s">
        <v>21</v>
      </c>
      <c r="K181">
        <f t="shared" si="2"/>
        <v>19</v>
      </c>
      <c r="L181" cm="1">
        <f t="array" ref="L181">IFERROR(SUMPRODUCT((COUNTIF($D$2:$D$648,$D$2:$D$648)&gt;COUNTIF($D$2:$D$648,D181))/COUNTIF($D$2:$D$648,$D$2:$D$648))+1,"")</f>
        <v>4</v>
      </c>
    </row>
    <row r="182" spans="1:12" x14ac:dyDescent="0.3">
      <c r="A182" t="s">
        <v>104</v>
      </c>
      <c r="B182" s="3">
        <v>46288</v>
      </c>
      <c r="C182" t="s">
        <v>812</v>
      </c>
      <c r="D182" t="s">
        <v>63</v>
      </c>
      <c r="E182" t="s">
        <v>14</v>
      </c>
      <c r="F182" t="s">
        <v>484</v>
      </c>
      <c r="G182" t="s">
        <v>236</v>
      </c>
      <c r="H182" t="s">
        <v>11</v>
      </c>
      <c r="I182">
        <v>5</v>
      </c>
      <c r="J182" t="s">
        <v>49</v>
      </c>
      <c r="K182">
        <f t="shared" si="2"/>
        <v>8</v>
      </c>
      <c r="L182" cm="1">
        <f t="array" ref="L182">IFERROR(SUMPRODUCT((COUNTIF($D$2:$D$648,$D$2:$D$648)&gt;COUNTIF($D$2:$D$648,D182))/COUNTIF($D$2:$D$648,$D$2:$D$648))+1,"")</f>
        <v>24.999999999999957</v>
      </c>
    </row>
    <row r="183" spans="1:12" x14ac:dyDescent="0.3">
      <c r="A183" t="s">
        <v>104</v>
      </c>
      <c r="B183" s="3">
        <v>46288</v>
      </c>
      <c r="C183" t="s">
        <v>812</v>
      </c>
      <c r="D183" t="s">
        <v>13</v>
      </c>
      <c r="E183" t="s">
        <v>23</v>
      </c>
      <c r="G183" t="s">
        <v>218</v>
      </c>
      <c r="H183" t="s">
        <v>11</v>
      </c>
      <c r="I183">
        <v>7</v>
      </c>
      <c r="J183" t="s">
        <v>15</v>
      </c>
      <c r="K183">
        <f t="shared" si="2"/>
        <v>47</v>
      </c>
      <c r="L183" cm="1">
        <f t="array" ref="L183">IFERROR(SUMPRODUCT((COUNTIF($D$2:$D$648,$D$2:$D$648)&gt;COUNTIF($D$2:$D$648,D183))/COUNTIF($D$2:$D$648,$D$2:$D$648))+1,"")</f>
        <v>1</v>
      </c>
    </row>
    <row r="184" spans="1:12" x14ac:dyDescent="0.3">
      <c r="A184" t="s">
        <v>104</v>
      </c>
      <c r="B184" s="3">
        <v>46288</v>
      </c>
      <c r="C184" t="s">
        <v>812</v>
      </c>
      <c r="D184" t="s">
        <v>121</v>
      </c>
      <c r="E184" t="s">
        <v>67</v>
      </c>
      <c r="F184" t="s">
        <v>485</v>
      </c>
      <c r="G184" t="s">
        <v>265</v>
      </c>
      <c r="H184" t="s">
        <v>11</v>
      </c>
      <c r="I184">
        <v>5</v>
      </c>
      <c r="J184" t="s">
        <v>65</v>
      </c>
      <c r="K184">
        <f t="shared" si="2"/>
        <v>8</v>
      </c>
      <c r="L184" cm="1">
        <f t="array" ref="L184">IFERROR(SUMPRODUCT((COUNTIF($D$2:$D$648,$D$2:$D$648)&gt;COUNTIF($D$2:$D$648,D184))/COUNTIF($D$2:$D$648,$D$2:$D$648))+1,"")</f>
        <v>24.999999999999957</v>
      </c>
    </row>
    <row r="185" spans="1:12" x14ac:dyDescent="0.3">
      <c r="A185" t="s">
        <v>104</v>
      </c>
      <c r="B185" s="3">
        <v>46288</v>
      </c>
      <c r="C185" t="s">
        <v>812</v>
      </c>
      <c r="D185" t="s">
        <v>31</v>
      </c>
      <c r="E185" t="s">
        <v>84</v>
      </c>
      <c r="F185" t="s">
        <v>486</v>
      </c>
      <c r="G185" t="s">
        <v>223</v>
      </c>
      <c r="H185" t="s">
        <v>11</v>
      </c>
      <c r="I185">
        <v>5</v>
      </c>
      <c r="J185" t="s">
        <v>135</v>
      </c>
      <c r="K185">
        <f t="shared" si="2"/>
        <v>6</v>
      </c>
      <c r="L185" cm="1">
        <f t="array" ref="L185">IFERROR(SUMPRODUCT((COUNTIF($D$2:$D$648,$D$2:$D$648)&gt;COUNTIF($D$2:$D$648,D185))/COUNTIF($D$2:$D$648,$D$2:$D$648))+1,"")</f>
        <v>39.000000000000114</v>
      </c>
    </row>
    <row r="186" spans="1:12" x14ac:dyDescent="0.3">
      <c r="A186" t="s">
        <v>104</v>
      </c>
      <c r="B186" s="3">
        <v>46288</v>
      </c>
      <c r="C186" t="s">
        <v>812</v>
      </c>
      <c r="D186" t="s">
        <v>56</v>
      </c>
      <c r="E186" t="s">
        <v>114</v>
      </c>
      <c r="F186" t="s">
        <v>312</v>
      </c>
      <c r="G186" t="s">
        <v>232</v>
      </c>
      <c r="H186" t="s">
        <v>11</v>
      </c>
      <c r="I186">
        <v>5</v>
      </c>
      <c r="J186" t="s">
        <v>12</v>
      </c>
      <c r="K186">
        <f t="shared" si="2"/>
        <v>6</v>
      </c>
      <c r="L186" cm="1">
        <f t="array" ref="L186">IFERROR(SUMPRODUCT((COUNTIF($D$2:$D$648,$D$2:$D$648)&gt;COUNTIF($D$2:$D$648,D186))/COUNTIF($D$2:$D$648,$D$2:$D$648))+1,"")</f>
        <v>39.000000000000114</v>
      </c>
    </row>
    <row r="187" spans="1:12" x14ac:dyDescent="0.3">
      <c r="A187" t="s">
        <v>104</v>
      </c>
      <c r="B187" s="3">
        <v>46289</v>
      </c>
      <c r="C187" t="s">
        <v>814</v>
      </c>
      <c r="D187" t="s">
        <v>13</v>
      </c>
      <c r="E187" t="s">
        <v>17</v>
      </c>
      <c r="G187" t="s">
        <v>218</v>
      </c>
      <c r="H187" t="s">
        <v>11</v>
      </c>
      <c r="I187">
        <v>4</v>
      </c>
      <c r="J187" t="s">
        <v>30</v>
      </c>
      <c r="K187">
        <f t="shared" si="2"/>
        <v>47</v>
      </c>
      <c r="L187" cm="1">
        <f t="array" ref="L187">IFERROR(SUMPRODUCT((COUNTIF($D$2:$D$648,$D$2:$D$648)&gt;COUNTIF($D$2:$D$648,D187))/COUNTIF($D$2:$D$648,$D$2:$D$648))+1,"")</f>
        <v>1</v>
      </c>
    </row>
    <row r="188" spans="1:12" x14ac:dyDescent="0.3">
      <c r="A188" t="s">
        <v>104</v>
      </c>
      <c r="B188" s="3">
        <v>46289</v>
      </c>
      <c r="C188" t="s">
        <v>814</v>
      </c>
      <c r="D188" t="s">
        <v>137</v>
      </c>
      <c r="E188" t="s">
        <v>17</v>
      </c>
      <c r="F188" t="s">
        <v>487</v>
      </c>
      <c r="G188" t="s">
        <v>258</v>
      </c>
      <c r="H188" t="s">
        <v>11</v>
      </c>
      <c r="I188">
        <v>3</v>
      </c>
      <c r="J188" t="s">
        <v>98</v>
      </c>
      <c r="K188">
        <f t="shared" si="2"/>
        <v>2</v>
      </c>
      <c r="L188" cm="1">
        <f t="array" ref="L188">IFERROR(SUMPRODUCT((COUNTIF($D$2:$D$648,$D$2:$D$648)&gt;COUNTIF($D$2:$D$648,D188))/COUNTIF($D$2:$D$648,$D$2:$D$648))+1,"")</f>
        <v>65.000000000000426</v>
      </c>
    </row>
    <row r="189" spans="1:12" x14ac:dyDescent="0.3">
      <c r="A189" t="s">
        <v>104</v>
      </c>
      <c r="B189" s="3">
        <v>46289</v>
      </c>
      <c r="C189" t="s">
        <v>814</v>
      </c>
      <c r="D189" t="s">
        <v>63</v>
      </c>
      <c r="E189" t="s">
        <v>14</v>
      </c>
      <c r="F189" t="s">
        <v>484</v>
      </c>
      <c r="G189" t="s">
        <v>236</v>
      </c>
      <c r="H189" t="s">
        <v>11</v>
      </c>
      <c r="I189">
        <v>3</v>
      </c>
      <c r="J189" t="s">
        <v>29</v>
      </c>
      <c r="K189">
        <f t="shared" si="2"/>
        <v>8</v>
      </c>
      <c r="L189" cm="1">
        <f t="array" ref="L189">IFERROR(SUMPRODUCT((COUNTIF($D$2:$D$648,$D$2:$D$648)&gt;COUNTIF($D$2:$D$648,D189))/COUNTIF($D$2:$D$648,$D$2:$D$648))+1,"")</f>
        <v>24.999999999999957</v>
      </c>
    </row>
    <row r="190" spans="1:12" x14ac:dyDescent="0.3">
      <c r="A190" t="s">
        <v>104</v>
      </c>
      <c r="B190" s="3">
        <v>46289</v>
      </c>
      <c r="C190" t="s">
        <v>814</v>
      </c>
      <c r="D190" t="s">
        <v>138</v>
      </c>
      <c r="E190" t="s">
        <v>23</v>
      </c>
      <c r="F190" t="s">
        <v>488</v>
      </c>
      <c r="G190" t="s">
        <v>270</v>
      </c>
      <c r="H190" t="s">
        <v>11</v>
      </c>
      <c r="I190">
        <v>3</v>
      </c>
      <c r="J190" t="s">
        <v>98</v>
      </c>
      <c r="K190">
        <f t="shared" si="2"/>
        <v>5</v>
      </c>
      <c r="L190" cm="1">
        <f t="array" ref="L190">IFERROR(SUMPRODUCT((COUNTIF($D$2:$D$648,$D$2:$D$648)&gt;COUNTIF($D$2:$D$648,D190))/COUNTIF($D$2:$D$648,$D$2:$D$648))+1,"")</f>
        <v>43.000000000000199</v>
      </c>
    </row>
    <row r="191" spans="1:12" x14ac:dyDescent="0.3">
      <c r="A191" t="s">
        <v>104</v>
      </c>
      <c r="B191" s="3">
        <v>46289</v>
      </c>
      <c r="C191" t="s">
        <v>814</v>
      </c>
      <c r="D191" t="s">
        <v>139</v>
      </c>
      <c r="E191" t="s">
        <v>20</v>
      </c>
      <c r="F191" t="s">
        <v>489</v>
      </c>
      <c r="G191" t="s">
        <v>271</v>
      </c>
      <c r="H191" t="s">
        <v>11</v>
      </c>
      <c r="I191">
        <v>3</v>
      </c>
      <c r="J191" t="s">
        <v>98</v>
      </c>
      <c r="K191">
        <f t="shared" si="2"/>
        <v>5</v>
      </c>
      <c r="L191" cm="1">
        <f t="array" ref="L191">IFERROR(SUMPRODUCT((COUNTIF($D$2:$D$648,$D$2:$D$648)&gt;COUNTIF($D$2:$D$648,D191))/COUNTIF($D$2:$D$648,$D$2:$D$648))+1,"")</f>
        <v>43.000000000000199</v>
      </c>
    </row>
    <row r="192" spans="1:12" x14ac:dyDescent="0.3">
      <c r="A192" t="s">
        <v>104</v>
      </c>
      <c r="B192" s="3">
        <v>46289</v>
      </c>
      <c r="C192" t="s">
        <v>814</v>
      </c>
      <c r="D192" t="s">
        <v>140</v>
      </c>
      <c r="E192" t="s">
        <v>62</v>
      </c>
      <c r="F192" t="s">
        <v>313</v>
      </c>
      <c r="G192" t="s">
        <v>235</v>
      </c>
      <c r="H192" t="s">
        <v>11</v>
      </c>
      <c r="I192">
        <v>3</v>
      </c>
      <c r="J192" t="s">
        <v>54</v>
      </c>
      <c r="K192">
        <f t="shared" si="2"/>
        <v>1</v>
      </c>
      <c r="L192" cm="1">
        <f t="array" ref="L192">IFERROR(SUMPRODUCT((COUNTIF($D$2:$D$648,$D$2:$D$648)&gt;COUNTIF($D$2:$D$648,D192))/COUNTIF($D$2:$D$648,$D$2:$D$648))+1,"")</f>
        <v>80.000000000000426</v>
      </c>
    </row>
    <row r="193" spans="1:12" x14ac:dyDescent="0.3">
      <c r="A193" t="s">
        <v>104</v>
      </c>
      <c r="B193" s="3">
        <v>46289</v>
      </c>
      <c r="C193" t="s">
        <v>814</v>
      </c>
      <c r="D193" t="s">
        <v>69</v>
      </c>
      <c r="E193" t="s">
        <v>84</v>
      </c>
      <c r="F193" t="s">
        <v>490</v>
      </c>
      <c r="G193" t="s">
        <v>238</v>
      </c>
      <c r="H193" t="s">
        <v>11</v>
      </c>
      <c r="I193">
        <v>3</v>
      </c>
      <c r="J193" t="s">
        <v>29</v>
      </c>
      <c r="K193">
        <f t="shared" si="2"/>
        <v>17</v>
      </c>
      <c r="L193" cm="1">
        <f t="array" ref="L193">IFERROR(SUMPRODUCT((COUNTIF($D$2:$D$648,$D$2:$D$648)&gt;COUNTIF($D$2:$D$648,D193))/COUNTIF($D$2:$D$648,$D$2:$D$648))+1,"")</f>
        <v>5.9999999999999982</v>
      </c>
    </row>
    <row r="194" spans="1:12" x14ac:dyDescent="0.3">
      <c r="A194" t="s">
        <v>104</v>
      </c>
      <c r="B194" s="3">
        <v>46290</v>
      </c>
      <c r="C194" t="s">
        <v>817</v>
      </c>
      <c r="D194" t="s">
        <v>141</v>
      </c>
      <c r="E194" t="s">
        <v>14</v>
      </c>
      <c r="F194" t="s">
        <v>491</v>
      </c>
      <c r="G194" t="s">
        <v>272</v>
      </c>
      <c r="H194" t="s">
        <v>27</v>
      </c>
      <c r="I194">
        <v>3</v>
      </c>
      <c r="J194" t="s">
        <v>37</v>
      </c>
      <c r="K194">
        <f t="shared" ref="K194:K257" si="3">COUNTIF($D$2:$D$700,D194)</f>
        <v>4</v>
      </c>
      <c r="L194" cm="1">
        <f t="array" ref="L194">IFERROR(SUMPRODUCT((COUNTIF($D$2:$D$648,$D$2:$D$648)&gt;COUNTIF($D$2:$D$648,D194))/COUNTIF($D$2:$D$648,$D$2:$D$648))+1,"")</f>
        <v>52.000000000000306</v>
      </c>
    </row>
    <row r="195" spans="1:12" x14ac:dyDescent="0.3">
      <c r="A195" t="s">
        <v>104</v>
      </c>
      <c r="B195" s="3">
        <v>46290</v>
      </c>
      <c r="C195" t="s">
        <v>817</v>
      </c>
      <c r="D195" t="s">
        <v>110</v>
      </c>
      <c r="E195" t="s">
        <v>67</v>
      </c>
      <c r="F195" t="s">
        <v>492</v>
      </c>
      <c r="G195" t="s">
        <v>262</v>
      </c>
      <c r="H195" t="s">
        <v>11</v>
      </c>
      <c r="I195">
        <v>3</v>
      </c>
      <c r="J195" t="s">
        <v>37</v>
      </c>
      <c r="K195">
        <f t="shared" si="3"/>
        <v>11</v>
      </c>
      <c r="L195" cm="1">
        <f t="array" ref="L195">IFERROR(SUMPRODUCT((COUNTIF($D$2:$D$648,$D$2:$D$648)&gt;COUNTIF($D$2:$D$648,D195))/COUNTIF($D$2:$D$648,$D$2:$D$648))+1,"")</f>
        <v>11.999999999999961</v>
      </c>
    </row>
    <row r="196" spans="1:12" x14ac:dyDescent="0.3">
      <c r="A196" t="s">
        <v>104</v>
      </c>
      <c r="B196" s="3">
        <v>46290</v>
      </c>
      <c r="C196" t="s">
        <v>817</v>
      </c>
      <c r="D196" t="s">
        <v>142</v>
      </c>
      <c r="E196" t="s">
        <v>17</v>
      </c>
      <c r="F196" t="s">
        <v>493</v>
      </c>
      <c r="G196" t="s">
        <v>273</v>
      </c>
      <c r="H196" t="s">
        <v>11</v>
      </c>
      <c r="I196">
        <v>3</v>
      </c>
      <c r="J196" t="s">
        <v>35</v>
      </c>
      <c r="K196">
        <f t="shared" si="3"/>
        <v>1</v>
      </c>
      <c r="L196" cm="1">
        <f t="array" ref="L196">IFERROR(SUMPRODUCT((COUNTIF($D$2:$D$648,$D$2:$D$648)&gt;COUNTIF($D$2:$D$648,D196))/COUNTIF($D$2:$D$648,$D$2:$D$648))+1,"")</f>
        <v>80.000000000000426</v>
      </c>
    </row>
    <row r="197" spans="1:12" x14ac:dyDescent="0.3">
      <c r="A197" t="s">
        <v>104</v>
      </c>
      <c r="B197" s="3">
        <v>46290</v>
      </c>
      <c r="C197" t="s">
        <v>817</v>
      </c>
      <c r="D197" t="s">
        <v>66</v>
      </c>
      <c r="E197" t="s">
        <v>20</v>
      </c>
      <c r="F197" t="s">
        <v>494</v>
      </c>
      <c r="G197" t="s">
        <v>217</v>
      </c>
      <c r="H197" t="s">
        <v>11</v>
      </c>
      <c r="I197">
        <v>4</v>
      </c>
      <c r="J197" t="s">
        <v>40</v>
      </c>
      <c r="K197">
        <f t="shared" si="3"/>
        <v>2</v>
      </c>
      <c r="L197" cm="1">
        <f t="array" ref="L197">IFERROR(SUMPRODUCT((COUNTIF($D$2:$D$648,$D$2:$D$648)&gt;COUNTIF($D$2:$D$648,D197))/COUNTIF($D$2:$D$648,$D$2:$D$648))+1,"")</f>
        <v>65.000000000000426</v>
      </c>
    </row>
    <row r="198" spans="1:12" x14ac:dyDescent="0.3">
      <c r="A198" t="s">
        <v>104</v>
      </c>
      <c r="B198" s="3">
        <v>46291</v>
      </c>
      <c r="C198" t="s">
        <v>815</v>
      </c>
      <c r="D198" t="s">
        <v>79</v>
      </c>
      <c r="E198" t="s">
        <v>17</v>
      </c>
      <c r="F198" t="s">
        <v>495</v>
      </c>
      <c r="G198" t="s">
        <v>222</v>
      </c>
      <c r="H198" t="s">
        <v>27</v>
      </c>
      <c r="I198">
        <v>5</v>
      </c>
      <c r="J198" t="s">
        <v>21</v>
      </c>
      <c r="K198">
        <f t="shared" si="3"/>
        <v>8</v>
      </c>
      <c r="L198" cm="1">
        <f t="array" ref="L198">IFERROR(SUMPRODUCT((COUNTIF($D$2:$D$648,$D$2:$D$648)&gt;COUNTIF($D$2:$D$648,D198))/COUNTIF($D$2:$D$648,$D$2:$D$648))+1,"")</f>
        <v>24.999999999999957</v>
      </c>
    </row>
    <row r="199" spans="1:12" x14ac:dyDescent="0.3">
      <c r="A199" t="s">
        <v>104</v>
      </c>
      <c r="B199" s="3">
        <v>46291</v>
      </c>
      <c r="C199" t="s">
        <v>815</v>
      </c>
      <c r="D199" t="s">
        <v>141</v>
      </c>
      <c r="E199" t="s">
        <v>20</v>
      </c>
      <c r="F199" t="s">
        <v>496</v>
      </c>
      <c r="G199" t="s">
        <v>272</v>
      </c>
      <c r="H199" t="s">
        <v>27</v>
      </c>
      <c r="I199">
        <v>5</v>
      </c>
      <c r="J199" t="s">
        <v>18</v>
      </c>
      <c r="K199">
        <f t="shared" si="3"/>
        <v>4</v>
      </c>
      <c r="L199" cm="1">
        <f t="array" ref="L199">IFERROR(SUMPRODUCT((COUNTIF($D$2:$D$648,$D$2:$D$648)&gt;COUNTIF($D$2:$D$648,D199))/COUNTIF($D$2:$D$648,$D$2:$D$648))+1,"")</f>
        <v>52.000000000000306</v>
      </c>
    </row>
    <row r="200" spans="1:12" x14ac:dyDescent="0.3">
      <c r="A200" t="s">
        <v>104</v>
      </c>
      <c r="B200" s="3">
        <v>46291</v>
      </c>
      <c r="C200" t="s">
        <v>815</v>
      </c>
      <c r="D200" t="s">
        <v>101</v>
      </c>
      <c r="E200" t="s">
        <v>67</v>
      </c>
      <c r="F200" t="s">
        <v>497</v>
      </c>
      <c r="G200" t="s">
        <v>224</v>
      </c>
      <c r="H200" t="s">
        <v>11</v>
      </c>
      <c r="I200">
        <v>5</v>
      </c>
      <c r="J200" t="s">
        <v>49</v>
      </c>
      <c r="K200">
        <f t="shared" si="3"/>
        <v>5</v>
      </c>
      <c r="L200" cm="1">
        <f t="array" ref="L200">IFERROR(SUMPRODUCT((COUNTIF($D$2:$D$648,$D$2:$D$648)&gt;COUNTIF($D$2:$D$648,D200))/COUNTIF($D$2:$D$648,$D$2:$D$648))+1,"")</f>
        <v>43.000000000000199</v>
      </c>
    </row>
    <row r="201" spans="1:12" x14ac:dyDescent="0.3">
      <c r="A201" t="s">
        <v>104</v>
      </c>
      <c r="B201" s="3">
        <v>46291</v>
      </c>
      <c r="C201" t="s">
        <v>815</v>
      </c>
      <c r="D201" t="s">
        <v>55</v>
      </c>
      <c r="E201" t="s">
        <v>143</v>
      </c>
      <c r="F201" t="s">
        <v>498</v>
      </c>
      <c r="G201" t="s">
        <v>231</v>
      </c>
      <c r="H201" t="s">
        <v>11</v>
      </c>
      <c r="I201">
        <v>5</v>
      </c>
      <c r="J201" t="s">
        <v>51</v>
      </c>
      <c r="K201">
        <f t="shared" si="3"/>
        <v>7</v>
      </c>
      <c r="L201" cm="1">
        <f t="array" ref="L201">IFERROR(SUMPRODUCT((COUNTIF($D$2:$D$648,$D$2:$D$648)&gt;COUNTIF($D$2:$D$648,D201))/COUNTIF($D$2:$D$648,$D$2:$D$648))+1,"")</f>
        <v>31.999999999999968</v>
      </c>
    </row>
    <row r="202" spans="1:12" x14ac:dyDescent="0.3">
      <c r="A202" t="s">
        <v>104</v>
      </c>
      <c r="B202" s="3">
        <v>46291</v>
      </c>
      <c r="C202" t="s">
        <v>815</v>
      </c>
      <c r="D202" t="s">
        <v>144</v>
      </c>
      <c r="E202" t="s">
        <v>23</v>
      </c>
      <c r="F202" t="s">
        <v>499</v>
      </c>
      <c r="G202" t="s">
        <v>244</v>
      </c>
      <c r="H202" t="s">
        <v>11</v>
      </c>
      <c r="I202">
        <v>5</v>
      </c>
      <c r="J202" t="s">
        <v>44</v>
      </c>
      <c r="K202">
        <f t="shared" si="3"/>
        <v>9</v>
      </c>
      <c r="L202" cm="1">
        <f t="array" ref="L202">IFERROR(SUMPRODUCT((COUNTIF($D$2:$D$648,$D$2:$D$648)&gt;COUNTIF($D$2:$D$648,D202))/COUNTIF($D$2:$D$648,$D$2:$D$648))+1,"")</f>
        <v>21.999999999999968</v>
      </c>
    </row>
    <row r="203" spans="1:12" x14ac:dyDescent="0.3">
      <c r="A203" t="s">
        <v>104</v>
      </c>
      <c r="B203" s="3">
        <v>46294</v>
      </c>
      <c r="C203" t="s">
        <v>816</v>
      </c>
      <c r="D203" t="s">
        <v>19</v>
      </c>
      <c r="E203" t="s">
        <v>67</v>
      </c>
      <c r="G203" t="s">
        <v>220</v>
      </c>
      <c r="H203" t="s">
        <v>27</v>
      </c>
      <c r="I203">
        <v>5</v>
      </c>
      <c r="J203" t="s">
        <v>21</v>
      </c>
      <c r="K203">
        <f t="shared" si="3"/>
        <v>8</v>
      </c>
      <c r="L203" cm="1">
        <f t="array" ref="L203">IFERROR(SUMPRODUCT((COUNTIF($D$2:$D$648,$D$2:$D$648)&gt;COUNTIF($D$2:$D$648,D203))/COUNTIF($D$2:$D$648,$D$2:$D$648))+1,"")</f>
        <v>24.999999999999957</v>
      </c>
    </row>
    <row r="204" spans="1:12" x14ac:dyDescent="0.3">
      <c r="A204" t="s">
        <v>104</v>
      </c>
      <c r="B204" s="3">
        <v>46294</v>
      </c>
      <c r="C204" t="s">
        <v>816</v>
      </c>
      <c r="D204" t="s">
        <v>13</v>
      </c>
      <c r="E204" t="s">
        <v>17</v>
      </c>
      <c r="G204" t="s">
        <v>218</v>
      </c>
      <c r="H204" t="s">
        <v>11</v>
      </c>
      <c r="I204">
        <v>7</v>
      </c>
      <c r="J204" t="s">
        <v>15</v>
      </c>
      <c r="K204">
        <f t="shared" si="3"/>
        <v>47</v>
      </c>
      <c r="L204" cm="1">
        <f t="array" ref="L204">IFERROR(SUMPRODUCT((COUNTIF($D$2:$D$648,$D$2:$D$648)&gt;COUNTIF($D$2:$D$648,D204))/COUNTIF($D$2:$D$648,$D$2:$D$648))+1,"")</f>
        <v>1</v>
      </c>
    </row>
    <row r="205" spans="1:12" x14ac:dyDescent="0.3">
      <c r="A205" t="s">
        <v>104</v>
      </c>
      <c r="B205" s="3">
        <v>46294</v>
      </c>
      <c r="C205" t="s">
        <v>816</v>
      </c>
      <c r="D205" t="s">
        <v>71</v>
      </c>
      <c r="E205" t="s">
        <v>23</v>
      </c>
      <c r="F205" t="s">
        <v>500</v>
      </c>
      <c r="G205" t="s">
        <v>240</v>
      </c>
      <c r="H205" t="s">
        <v>11</v>
      </c>
      <c r="I205">
        <v>5</v>
      </c>
      <c r="J205" t="s">
        <v>44</v>
      </c>
      <c r="K205">
        <f t="shared" si="3"/>
        <v>13</v>
      </c>
      <c r="L205" cm="1">
        <f t="array" ref="L205">IFERROR(SUMPRODUCT((COUNTIF($D$2:$D$648,$D$2:$D$648)&gt;COUNTIF($D$2:$D$648,D205))/COUNTIF($D$2:$D$648,$D$2:$D$648))+1,"")</f>
        <v>7.999999999999992</v>
      </c>
    </row>
    <row r="206" spans="1:12" x14ac:dyDescent="0.3">
      <c r="A206" t="s">
        <v>104</v>
      </c>
      <c r="B206" s="3">
        <v>46294</v>
      </c>
      <c r="C206" t="s">
        <v>816</v>
      </c>
      <c r="D206" t="s">
        <v>74</v>
      </c>
      <c r="E206" t="s">
        <v>14</v>
      </c>
      <c r="F206" t="s">
        <v>501</v>
      </c>
      <c r="G206" t="s">
        <v>241</v>
      </c>
      <c r="H206" t="s">
        <v>11</v>
      </c>
      <c r="I206">
        <v>5</v>
      </c>
      <c r="J206" t="s">
        <v>75</v>
      </c>
      <c r="K206">
        <f t="shared" si="3"/>
        <v>9</v>
      </c>
      <c r="L206" cm="1">
        <f t="array" ref="L206">IFERROR(SUMPRODUCT((COUNTIF($D$2:$D$648,$D$2:$D$648)&gt;COUNTIF($D$2:$D$648,D206))/COUNTIF($D$2:$D$648,$D$2:$D$648))+1,"")</f>
        <v>21.999999999999968</v>
      </c>
    </row>
    <row r="207" spans="1:12" x14ac:dyDescent="0.3">
      <c r="A207" t="s">
        <v>104</v>
      </c>
      <c r="B207" s="3">
        <v>46295</v>
      </c>
      <c r="C207" t="s">
        <v>812</v>
      </c>
      <c r="D207" t="s">
        <v>133</v>
      </c>
      <c r="E207" t="s">
        <v>67</v>
      </c>
      <c r="F207" t="s">
        <v>502</v>
      </c>
      <c r="G207" t="s">
        <v>268</v>
      </c>
      <c r="H207" t="s">
        <v>27</v>
      </c>
      <c r="I207">
        <v>5</v>
      </c>
      <c r="J207" t="s">
        <v>18</v>
      </c>
      <c r="K207">
        <f t="shared" si="3"/>
        <v>6</v>
      </c>
      <c r="L207" cm="1">
        <f t="array" ref="L207">IFERROR(SUMPRODUCT((COUNTIF($D$2:$D$648,$D$2:$D$648)&gt;COUNTIF($D$2:$D$648,D207))/COUNTIF($D$2:$D$648,$D$2:$D$648))+1,"")</f>
        <v>39.000000000000114</v>
      </c>
    </row>
    <row r="208" spans="1:12" x14ac:dyDescent="0.3">
      <c r="A208" t="s">
        <v>104</v>
      </c>
      <c r="B208" s="3">
        <v>46295</v>
      </c>
      <c r="C208" t="s">
        <v>812</v>
      </c>
      <c r="D208" t="s">
        <v>13</v>
      </c>
      <c r="E208" t="s">
        <v>84</v>
      </c>
      <c r="G208" t="s">
        <v>218</v>
      </c>
      <c r="H208" t="s">
        <v>11</v>
      </c>
      <c r="I208">
        <v>7</v>
      </c>
      <c r="J208" t="s">
        <v>15</v>
      </c>
      <c r="K208">
        <f t="shared" si="3"/>
        <v>47</v>
      </c>
      <c r="L208" cm="1">
        <f t="array" ref="L208">IFERROR(SUMPRODUCT((COUNTIF($D$2:$D$648,$D$2:$D$648)&gt;COUNTIF($D$2:$D$648,D208))/COUNTIF($D$2:$D$648,$D$2:$D$648))+1,"")</f>
        <v>1</v>
      </c>
    </row>
    <row r="209" spans="1:12" x14ac:dyDescent="0.3">
      <c r="A209" t="s">
        <v>104</v>
      </c>
      <c r="B209" s="3">
        <v>46295</v>
      </c>
      <c r="C209" t="s">
        <v>812</v>
      </c>
      <c r="D209" t="s">
        <v>71</v>
      </c>
      <c r="E209" t="s">
        <v>23</v>
      </c>
      <c r="F209" t="s">
        <v>503</v>
      </c>
      <c r="G209" t="s">
        <v>240</v>
      </c>
      <c r="H209" t="s">
        <v>11</v>
      </c>
      <c r="I209">
        <v>5</v>
      </c>
      <c r="J209" t="s">
        <v>44</v>
      </c>
      <c r="K209">
        <f t="shared" si="3"/>
        <v>13</v>
      </c>
      <c r="L209" cm="1">
        <f t="array" ref="L209">IFERROR(SUMPRODUCT((COUNTIF($D$2:$D$648,$D$2:$D$648)&gt;COUNTIF($D$2:$D$648,D209))/COUNTIF($D$2:$D$648,$D$2:$D$648))+1,"")</f>
        <v>7.999999999999992</v>
      </c>
    </row>
    <row r="210" spans="1:12" x14ac:dyDescent="0.3">
      <c r="A210" t="s">
        <v>104</v>
      </c>
      <c r="B210" s="3">
        <v>46295</v>
      </c>
      <c r="C210" t="s">
        <v>812</v>
      </c>
      <c r="D210" t="s">
        <v>145</v>
      </c>
      <c r="E210" t="s">
        <v>17</v>
      </c>
      <c r="F210" t="s">
        <v>504</v>
      </c>
      <c r="G210" t="s">
        <v>274</v>
      </c>
      <c r="H210" t="s">
        <v>11</v>
      </c>
      <c r="I210">
        <v>5</v>
      </c>
      <c r="J210" t="s">
        <v>51</v>
      </c>
      <c r="K210">
        <f t="shared" si="3"/>
        <v>4</v>
      </c>
      <c r="L210" cm="1">
        <f t="array" ref="L210">IFERROR(SUMPRODUCT((COUNTIF($D$2:$D$648,$D$2:$D$648)&gt;COUNTIF($D$2:$D$648,D210))/COUNTIF($D$2:$D$648,$D$2:$D$648))+1,"")</f>
        <v>52.000000000000306</v>
      </c>
    </row>
    <row r="211" spans="1:12" x14ac:dyDescent="0.3">
      <c r="A211" t="s">
        <v>104</v>
      </c>
      <c r="B211" s="3">
        <v>46295</v>
      </c>
      <c r="C211" t="s">
        <v>812</v>
      </c>
      <c r="D211" t="s">
        <v>97</v>
      </c>
      <c r="E211" t="s">
        <v>14</v>
      </c>
      <c r="F211" t="s">
        <v>505</v>
      </c>
      <c r="G211" t="s">
        <v>256</v>
      </c>
      <c r="H211" t="s">
        <v>11</v>
      </c>
      <c r="I211">
        <v>5</v>
      </c>
      <c r="J211" t="s">
        <v>90</v>
      </c>
      <c r="K211">
        <f t="shared" si="3"/>
        <v>13</v>
      </c>
      <c r="L211" cm="1">
        <f t="array" ref="L211">IFERROR(SUMPRODUCT((COUNTIF($D$2:$D$648,$D$2:$D$648)&gt;COUNTIF($D$2:$D$648,D211))/COUNTIF($D$2:$D$648,$D$2:$D$648))+1,"")</f>
        <v>7.999999999999992</v>
      </c>
    </row>
    <row r="212" spans="1:12" x14ac:dyDescent="0.3">
      <c r="A212" t="s">
        <v>104</v>
      </c>
      <c r="B212" s="3">
        <v>46295</v>
      </c>
      <c r="C212" t="s">
        <v>812</v>
      </c>
      <c r="D212" t="s">
        <v>146</v>
      </c>
      <c r="E212" t="s">
        <v>84</v>
      </c>
      <c r="G212" t="s">
        <v>275</v>
      </c>
      <c r="H212" t="s">
        <v>11</v>
      </c>
      <c r="I212">
        <v>5</v>
      </c>
      <c r="J212" t="s">
        <v>135</v>
      </c>
      <c r="K212">
        <f t="shared" si="3"/>
        <v>3</v>
      </c>
      <c r="L212" cm="1">
        <f t="array" ref="L212">IFERROR(SUMPRODUCT((COUNTIF($D$2:$D$648,$D$2:$D$648)&gt;COUNTIF($D$2:$D$648,D212))/COUNTIF($D$2:$D$648,$D$2:$D$648))+1,"")</f>
        <v>58.000000000000348</v>
      </c>
    </row>
    <row r="213" spans="1:12" x14ac:dyDescent="0.3">
      <c r="A213" t="s">
        <v>147</v>
      </c>
      <c r="B213" s="3">
        <v>46296</v>
      </c>
      <c r="C213" t="s">
        <v>814</v>
      </c>
      <c r="D213" t="s">
        <v>94</v>
      </c>
      <c r="E213" t="s">
        <v>57</v>
      </c>
      <c r="F213" t="s">
        <v>314</v>
      </c>
      <c r="G213" t="s">
        <v>253</v>
      </c>
      <c r="H213" t="s">
        <v>11</v>
      </c>
      <c r="I213">
        <v>3</v>
      </c>
      <c r="J213" t="s">
        <v>98</v>
      </c>
      <c r="K213">
        <f t="shared" si="3"/>
        <v>10</v>
      </c>
      <c r="L213" cm="1">
        <f t="array" ref="L213">IFERROR(SUMPRODUCT((COUNTIF($D$2:$D$648,$D$2:$D$648)&gt;COUNTIF($D$2:$D$648,D213))/COUNTIF($D$2:$D$648,$D$2:$D$648))+1,"")</f>
        <v>17.999999999999975</v>
      </c>
    </row>
    <row r="214" spans="1:12" x14ac:dyDescent="0.3">
      <c r="A214" t="s">
        <v>147</v>
      </c>
      <c r="B214" s="3">
        <v>46296</v>
      </c>
      <c r="C214" t="s">
        <v>814</v>
      </c>
      <c r="D214" t="s">
        <v>33</v>
      </c>
      <c r="E214" t="s">
        <v>17</v>
      </c>
      <c r="F214" t="s">
        <v>506</v>
      </c>
      <c r="G214" t="s">
        <v>224</v>
      </c>
      <c r="H214" t="s">
        <v>11</v>
      </c>
      <c r="I214">
        <v>3</v>
      </c>
      <c r="J214" t="s">
        <v>29</v>
      </c>
      <c r="K214">
        <f t="shared" si="3"/>
        <v>10</v>
      </c>
      <c r="L214" cm="1">
        <f t="array" ref="L214">IFERROR(SUMPRODUCT((COUNTIF($D$2:$D$648,$D$2:$D$648)&gt;COUNTIF($D$2:$D$648,D214))/COUNTIF($D$2:$D$648,$D$2:$D$648))+1,"")</f>
        <v>17.999999999999975</v>
      </c>
    </row>
    <row r="215" spans="1:12" x14ac:dyDescent="0.3">
      <c r="A215" t="s">
        <v>147</v>
      </c>
      <c r="B215" s="3">
        <v>46296</v>
      </c>
      <c r="C215" t="s">
        <v>814</v>
      </c>
      <c r="D215" t="s">
        <v>103</v>
      </c>
      <c r="E215" t="s">
        <v>14</v>
      </c>
      <c r="F215" t="s">
        <v>507</v>
      </c>
      <c r="G215" t="s">
        <v>225</v>
      </c>
      <c r="H215" t="s">
        <v>11</v>
      </c>
      <c r="I215">
        <v>4</v>
      </c>
      <c r="J215" t="s">
        <v>30</v>
      </c>
      <c r="K215">
        <f t="shared" si="3"/>
        <v>7</v>
      </c>
      <c r="L215" cm="1">
        <f t="array" ref="L215">IFERROR(SUMPRODUCT((COUNTIF($D$2:$D$648,$D$2:$D$648)&gt;COUNTIF($D$2:$D$648,D215))/COUNTIF($D$2:$D$648,$D$2:$D$648))+1,"")</f>
        <v>31.999999999999968</v>
      </c>
    </row>
    <row r="216" spans="1:12" x14ac:dyDescent="0.3">
      <c r="A216" t="s">
        <v>147</v>
      </c>
      <c r="B216" s="3">
        <v>46296</v>
      </c>
      <c r="C216" t="s">
        <v>814</v>
      </c>
      <c r="D216" t="s">
        <v>13</v>
      </c>
      <c r="E216" t="s">
        <v>23</v>
      </c>
      <c r="G216" t="s">
        <v>218</v>
      </c>
      <c r="H216" t="s">
        <v>11</v>
      </c>
      <c r="I216">
        <v>4</v>
      </c>
      <c r="J216" t="s">
        <v>30</v>
      </c>
      <c r="K216">
        <f t="shared" si="3"/>
        <v>47</v>
      </c>
      <c r="L216" cm="1">
        <f t="array" ref="L216">IFERROR(SUMPRODUCT((COUNTIF($D$2:$D$648,$D$2:$D$648)&gt;COUNTIF($D$2:$D$648,D216))/COUNTIF($D$2:$D$648,$D$2:$D$648))+1,"")</f>
        <v>1</v>
      </c>
    </row>
    <row r="217" spans="1:12" x14ac:dyDescent="0.3">
      <c r="A217" t="s">
        <v>147</v>
      </c>
      <c r="B217" s="3">
        <v>46296</v>
      </c>
      <c r="C217" t="s">
        <v>814</v>
      </c>
      <c r="D217" t="s">
        <v>86</v>
      </c>
      <c r="E217" t="s">
        <v>23</v>
      </c>
      <c r="F217" t="s">
        <v>508</v>
      </c>
      <c r="G217" t="s">
        <v>248</v>
      </c>
      <c r="H217" t="s">
        <v>11</v>
      </c>
      <c r="I217">
        <v>3</v>
      </c>
      <c r="J217" t="s">
        <v>28</v>
      </c>
      <c r="K217">
        <f t="shared" si="3"/>
        <v>10</v>
      </c>
      <c r="L217" cm="1">
        <f t="array" ref="L217">IFERROR(SUMPRODUCT((COUNTIF($D$2:$D$648,$D$2:$D$648)&gt;COUNTIF($D$2:$D$648,D217))/COUNTIF($D$2:$D$648,$D$2:$D$648))+1,"")</f>
        <v>17.999999999999975</v>
      </c>
    </row>
    <row r="218" spans="1:12" x14ac:dyDescent="0.3">
      <c r="A218" t="s">
        <v>147</v>
      </c>
      <c r="B218" s="3">
        <v>46296</v>
      </c>
      <c r="C218" t="s">
        <v>814</v>
      </c>
      <c r="D218" t="s">
        <v>148</v>
      </c>
      <c r="E218" t="s">
        <v>84</v>
      </c>
      <c r="F218" t="s">
        <v>509</v>
      </c>
      <c r="G218" t="s">
        <v>276</v>
      </c>
      <c r="H218" t="s">
        <v>11</v>
      </c>
      <c r="I218">
        <v>3</v>
      </c>
      <c r="J218" t="s">
        <v>29</v>
      </c>
      <c r="K218">
        <f t="shared" si="3"/>
        <v>4</v>
      </c>
      <c r="L218" cm="1">
        <f t="array" ref="L218">IFERROR(SUMPRODUCT((COUNTIF($D$2:$D$648,$D$2:$D$648)&gt;COUNTIF($D$2:$D$648,D218))/COUNTIF($D$2:$D$648,$D$2:$D$648))+1,"")</f>
        <v>52.000000000000306</v>
      </c>
    </row>
    <row r="219" spans="1:12" x14ac:dyDescent="0.3">
      <c r="A219" t="s">
        <v>147</v>
      </c>
      <c r="B219" s="3">
        <v>46296</v>
      </c>
      <c r="C219" t="s">
        <v>814</v>
      </c>
      <c r="D219" t="s">
        <v>91</v>
      </c>
      <c r="E219" t="s">
        <v>20</v>
      </c>
      <c r="F219" t="s">
        <v>510</v>
      </c>
      <c r="G219" t="s">
        <v>251</v>
      </c>
      <c r="H219" t="s">
        <v>11</v>
      </c>
      <c r="I219">
        <v>3</v>
      </c>
      <c r="J219" t="s">
        <v>54</v>
      </c>
      <c r="K219">
        <f t="shared" si="3"/>
        <v>5</v>
      </c>
      <c r="L219" cm="1">
        <f t="array" ref="L219">IFERROR(SUMPRODUCT((COUNTIF($D$2:$D$648,$D$2:$D$648)&gt;COUNTIF($D$2:$D$648,D219))/COUNTIF($D$2:$D$648,$D$2:$D$648))+1,"")</f>
        <v>43.000000000000199</v>
      </c>
    </row>
    <row r="220" spans="1:12" x14ac:dyDescent="0.3">
      <c r="A220" t="s">
        <v>147</v>
      </c>
      <c r="B220" s="3">
        <v>46296</v>
      </c>
      <c r="C220" t="s">
        <v>814</v>
      </c>
      <c r="D220" t="s">
        <v>105</v>
      </c>
      <c r="E220" t="s">
        <v>67</v>
      </c>
      <c r="F220" t="s">
        <v>511</v>
      </c>
      <c r="G220" t="s">
        <v>259</v>
      </c>
      <c r="H220" t="s">
        <v>11</v>
      </c>
      <c r="I220">
        <v>3</v>
      </c>
      <c r="J220" t="s">
        <v>29</v>
      </c>
      <c r="K220">
        <f t="shared" si="3"/>
        <v>20</v>
      </c>
      <c r="L220" cm="1">
        <f t="array" ref="L220">IFERROR(SUMPRODUCT((COUNTIF($D$2:$D$648,$D$2:$D$648)&gt;COUNTIF($D$2:$D$648,D220))/COUNTIF($D$2:$D$648,$D$2:$D$648))+1,"")</f>
        <v>3.0000000000000009</v>
      </c>
    </row>
    <row r="221" spans="1:12" x14ac:dyDescent="0.3">
      <c r="A221" t="s">
        <v>147</v>
      </c>
      <c r="B221" s="3">
        <v>46296</v>
      </c>
      <c r="C221" t="s">
        <v>814</v>
      </c>
      <c r="D221" t="s">
        <v>121</v>
      </c>
      <c r="E221" t="s">
        <v>114</v>
      </c>
      <c r="F221" t="s">
        <v>315</v>
      </c>
      <c r="G221" t="s">
        <v>265</v>
      </c>
      <c r="H221" t="s">
        <v>11</v>
      </c>
      <c r="I221">
        <v>3</v>
      </c>
      <c r="J221" t="s">
        <v>98</v>
      </c>
      <c r="K221">
        <f t="shared" si="3"/>
        <v>8</v>
      </c>
      <c r="L221" cm="1">
        <f t="array" ref="L221">IFERROR(SUMPRODUCT((COUNTIF($D$2:$D$648,$D$2:$D$648)&gt;COUNTIF($D$2:$D$648,D221))/COUNTIF($D$2:$D$648,$D$2:$D$648))+1,"")</f>
        <v>24.999999999999957</v>
      </c>
    </row>
    <row r="222" spans="1:12" x14ac:dyDescent="0.3">
      <c r="A222" t="s">
        <v>147</v>
      </c>
      <c r="B222" s="3">
        <v>46297</v>
      </c>
      <c r="C222" t="s">
        <v>817</v>
      </c>
      <c r="D222" t="s">
        <v>110</v>
      </c>
      <c r="E222" t="s">
        <v>14</v>
      </c>
      <c r="F222" t="s">
        <v>512</v>
      </c>
      <c r="G222" t="s">
        <v>262</v>
      </c>
      <c r="H222" t="s">
        <v>11</v>
      </c>
      <c r="I222">
        <v>3</v>
      </c>
      <c r="J222" t="s">
        <v>37</v>
      </c>
      <c r="K222">
        <f t="shared" si="3"/>
        <v>11</v>
      </c>
      <c r="L222" cm="1">
        <f t="array" ref="L222">IFERROR(SUMPRODUCT((COUNTIF($D$2:$D$648,$D$2:$D$648)&gt;COUNTIF($D$2:$D$648,D222))/COUNTIF($D$2:$D$648,$D$2:$D$648))+1,"")</f>
        <v>11.999999999999961</v>
      </c>
    </row>
    <row r="223" spans="1:12" x14ac:dyDescent="0.3">
      <c r="A223" t="s">
        <v>147</v>
      </c>
      <c r="B223" s="3">
        <v>46297</v>
      </c>
      <c r="C223" t="s">
        <v>817</v>
      </c>
      <c r="D223" t="s">
        <v>63</v>
      </c>
      <c r="E223" t="s">
        <v>67</v>
      </c>
      <c r="F223" t="s">
        <v>513</v>
      </c>
      <c r="G223" t="s">
        <v>236</v>
      </c>
      <c r="H223" t="s">
        <v>11</v>
      </c>
      <c r="I223">
        <v>3</v>
      </c>
      <c r="J223" t="s">
        <v>59</v>
      </c>
      <c r="K223">
        <f t="shared" si="3"/>
        <v>8</v>
      </c>
      <c r="L223" cm="1">
        <f t="array" ref="L223">IFERROR(SUMPRODUCT((COUNTIF($D$2:$D$648,$D$2:$D$648)&gt;COUNTIF($D$2:$D$648,D223))/COUNTIF($D$2:$D$648,$D$2:$D$648))+1,"")</f>
        <v>24.999999999999957</v>
      </c>
    </row>
    <row r="224" spans="1:12" x14ac:dyDescent="0.3">
      <c r="A224" t="s">
        <v>147</v>
      </c>
      <c r="B224" s="3">
        <v>46297</v>
      </c>
      <c r="C224" t="s">
        <v>817</v>
      </c>
      <c r="D224" t="s">
        <v>31</v>
      </c>
      <c r="E224" t="s">
        <v>84</v>
      </c>
      <c r="F224" t="s">
        <v>514</v>
      </c>
      <c r="G224" t="s">
        <v>277</v>
      </c>
      <c r="H224" t="s">
        <v>11</v>
      </c>
      <c r="I224">
        <v>3</v>
      </c>
      <c r="J224" t="s">
        <v>35</v>
      </c>
      <c r="K224">
        <f t="shared" si="3"/>
        <v>6</v>
      </c>
      <c r="L224" cm="1">
        <f t="array" ref="L224">IFERROR(SUMPRODUCT((COUNTIF($D$2:$D$648,$D$2:$D$648)&gt;COUNTIF($D$2:$D$648,D224))/COUNTIF($D$2:$D$648,$D$2:$D$648))+1,"")</f>
        <v>39.000000000000114</v>
      </c>
    </row>
    <row r="225" spans="1:12" x14ac:dyDescent="0.3">
      <c r="A225" t="s">
        <v>147</v>
      </c>
      <c r="B225" s="3">
        <v>46297</v>
      </c>
      <c r="C225" t="s">
        <v>817</v>
      </c>
      <c r="D225" t="s">
        <v>149</v>
      </c>
      <c r="E225" t="s">
        <v>17</v>
      </c>
      <c r="F225" t="s">
        <v>515</v>
      </c>
      <c r="G225" t="s">
        <v>278</v>
      </c>
      <c r="H225" t="s">
        <v>11</v>
      </c>
      <c r="I225">
        <v>3</v>
      </c>
      <c r="J225" t="s">
        <v>59</v>
      </c>
      <c r="K225">
        <f t="shared" si="3"/>
        <v>6</v>
      </c>
      <c r="L225" cm="1">
        <f t="array" ref="L225">IFERROR(SUMPRODUCT((COUNTIF($D$2:$D$648,$D$2:$D$648)&gt;COUNTIF($D$2:$D$648,D225))/COUNTIF($D$2:$D$648,$D$2:$D$648))+1,"")</f>
        <v>39.000000000000114</v>
      </c>
    </row>
    <row r="226" spans="1:12" x14ac:dyDescent="0.3">
      <c r="A226" t="s">
        <v>147</v>
      </c>
      <c r="B226" s="3">
        <v>46297</v>
      </c>
      <c r="C226" t="s">
        <v>817</v>
      </c>
      <c r="D226" t="s">
        <v>138</v>
      </c>
      <c r="E226" t="s">
        <v>20</v>
      </c>
      <c r="F226" t="s">
        <v>516</v>
      </c>
      <c r="G226" t="s">
        <v>270</v>
      </c>
      <c r="H226" t="s">
        <v>11</v>
      </c>
      <c r="I226">
        <v>3</v>
      </c>
      <c r="J226" t="s">
        <v>59</v>
      </c>
      <c r="K226">
        <f t="shared" si="3"/>
        <v>5</v>
      </c>
      <c r="L226" cm="1">
        <f t="array" ref="L226">IFERROR(SUMPRODUCT((COUNTIF($D$2:$D$648,$D$2:$D$648)&gt;COUNTIF($D$2:$D$648,D226))/COUNTIF($D$2:$D$648,$D$2:$D$648))+1,"")</f>
        <v>43.000000000000199</v>
      </c>
    </row>
    <row r="227" spans="1:12" x14ac:dyDescent="0.3">
      <c r="A227" t="s">
        <v>147</v>
      </c>
      <c r="B227" s="3">
        <v>46297</v>
      </c>
      <c r="C227" t="s">
        <v>817</v>
      </c>
      <c r="D227" t="s">
        <v>99</v>
      </c>
      <c r="E227" t="s">
        <v>23</v>
      </c>
      <c r="F227" t="s">
        <v>517</v>
      </c>
      <c r="G227" t="s">
        <v>257</v>
      </c>
      <c r="H227" t="s">
        <v>11</v>
      </c>
      <c r="I227">
        <v>3</v>
      </c>
      <c r="J227" t="s">
        <v>35</v>
      </c>
      <c r="K227">
        <f t="shared" si="3"/>
        <v>3</v>
      </c>
      <c r="L227" cm="1">
        <f t="array" ref="L227">IFERROR(SUMPRODUCT((COUNTIF($D$2:$D$648,$D$2:$D$648)&gt;COUNTIF($D$2:$D$648,D227))/COUNTIF($D$2:$D$648,$D$2:$D$648))+1,"")</f>
        <v>58.000000000000348</v>
      </c>
    </row>
    <row r="228" spans="1:12" x14ac:dyDescent="0.3">
      <c r="A228" t="s">
        <v>147</v>
      </c>
      <c r="B228" s="3">
        <v>46298</v>
      </c>
      <c r="C228" t="s">
        <v>815</v>
      </c>
      <c r="D228" t="s">
        <v>96</v>
      </c>
      <c r="E228" t="s">
        <v>23</v>
      </c>
      <c r="F228" t="s">
        <v>518</v>
      </c>
      <c r="G228" t="s">
        <v>255</v>
      </c>
      <c r="H228" t="s">
        <v>27</v>
      </c>
      <c r="I228">
        <v>5</v>
      </c>
      <c r="J228" t="s">
        <v>112</v>
      </c>
      <c r="K228">
        <f t="shared" si="3"/>
        <v>8</v>
      </c>
      <c r="L228" cm="1">
        <f t="array" ref="L228">IFERROR(SUMPRODUCT((COUNTIF($D$2:$D$648,$D$2:$D$648)&gt;COUNTIF($D$2:$D$648,D228))/COUNTIF($D$2:$D$648,$D$2:$D$648))+1,"")</f>
        <v>24.999999999999957</v>
      </c>
    </row>
    <row r="229" spans="1:12" x14ac:dyDescent="0.3">
      <c r="A229" t="s">
        <v>147</v>
      </c>
      <c r="B229" s="3">
        <v>46298</v>
      </c>
      <c r="C229" t="s">
        <v>815</v>
      </c>
      <c r="D229" t="s">
        <v>129</v>
      </c>
      <c r="E229" t="s">
        <v>67</v>
      </c>
      <c r="F229" t="s">
        <v>519</v>
      </c>
      <c r="G229" t="s">
        <v>267</v>
      </c>
      <c r="H229" t="s">
        <v>11</v>
      </c>
      <c r="I229">
        <v>5</v>
      </c>
      <c r="J229" t="s">
        <v>49</v>
      </c>
      <c r="K229">
        <f t="shared" si="3"/>
        <v>5</v>
      </c>
      <c r="L229" cm="1">
        <f t="array" ref="L229">IFERROR(SUMPRODUCT((COUNTIF($D$2:$D$648,$D$2:$D$648)&gt;COUNTIF($D$2:$D$648,D229))/COUNTIF($D$2:$D$648,$D$2:$D$648))+1,"")</f>
        <v>43.000000000000199</v>
      </c>
    </row>
    <row r="230" spans="1:12" x14ac:dyDescent="0.3">
      <c r="A230" t="s">
        <v>147</v>
      </c>
      <c r="B230" s="3">
        <v>46298</v>
      </c>
      <c r="C230" t="s">
        <v>815</v>
      </c>
      <c r="D230" t="s">
        <v>105</v>
      </c>
      <c r="E230" t="s">
        <v>20</v>
      </c>
      <c r="F230" t="s">
        <v>520</v>
      </c>
      <c r="G230" t="s">
        <v>259</v>
      </c>
      <c r="H230" t="s">
        <v>11</v>
      </c>
      <c r="I230">
        <v>5</v>
      </c>
      <c r="J230" t="s">
        <v>12</v>
      </c>
      <c r="K230">
        <f t="shared" si="3"/>
        <v>20</v>
      </c>
      <c r="L230" cm="1">
        <f t="array" ref="L230">IFERROR(SUMPRODUCT((COUNTIF($D$2:$D$648,$D$2:$D$648)&gt;COUNTIF($D$2:$D$648,D230))/COUNTIF($D$2:$D$648,$D$2:$D$648))+1,"")</f>
        <v>3.0000000000000009</v>
      </c>
    </row>
    <row r="231" spans="1:12" x14ac:dyDescent="0.3">
      <c r="A231" t="s">
        <v>147</v>
      </c>
      <c r="B231" s="3">
        <v>46298</v>
      </c>
      <c r="C231" t="s">
        <v>815</v>
      </c>
      <c r="D231" t="s">
        <v>73</v>
      </c>
      <c r="E231" t="s">
        <v>14</v>
      </c>
      <c r="F231" t="s">
        <v>521</v>
      </c>
      <c r="G231" t="s">
        <v>234</v>
      </c>
      <c r="H231" t="s">
        <v>11</v>
      </c>
      <c r="I231">
        <v>5</v>
      </c>
      <c r="J231" t="s">
        <v>49</v>
      </c>
      <c r="K231">
        <f t="shared" si="3"/>
        <v>11</v>
      </c>
      <c r="L231" cm="1">
        <f t="array" ref="L231">IFERROR(SUMPRODUCT((COUNTIF($D$2:$D$648,$D$2:$D$648)&gt;COUNTIF($D$2:$D$648,D231))/COUNTIF($D$2:$D$648,$D$2:$D$648))+1,"")</f>
        <v>11.999999999999961</v>
      </c>
    </row>
    <row r="232" spans="1:12" x14ac:dyDescent="0.3">
      <c r="A232" t="s">
        <v>147</v>
      </c>
      <c r="B232" s="3">
        <v>46298</v>
      </c>
      <c r="C232" t="s">
        <v>815</v>
      </c>
      <c r="D232" t="s">
        <v>150</v>
      </c>
      <c r="E232" t="s">
        <v>17</v>
      </c>
      <c r="F232" t="s">
        <v>522</v>
      </c>
      <c r="G232" t="s">
        <v>221</v>
      </c>
      <c r="H232" t="s">
        <v>11</v>
      </c>
      <c r="I232">
        <v>5</v>
      </c>
      <c r="J232" t="s">
        <v>24</v>
      </c>
      <c r="K232">
        <f t="shared" si="3"/>
        <v>3</v>
      </c>
      <c r="L232" cm="1">
        <f t="array" ref="L232">IFERROR(SUMPRODUCT((COUNTIF($D$2:$D$648,$D$2:$D$648)&gt;COUNTIF($D$2:$D$648,D232))/COUNTIF($D$2:$D$648,$D$2:$D$648))+1,"")</f>
        <v>58.000000000000348</v>
      </c>
    </row>
    <row r="233" spans="1:12" x14ac:dyDescent="0.3">
      <c r="A233" t="s">
        <v>147</v>
      </c>
      <c r="B233" s="3">
        <v>46301</v>
      </c>
      <c r="C233" t="s">
        <v>816</v>
      </c>
      <c r="D233" t="s">
        <v>13</v>
      </c>
      <c r="E233" t="s">
        <v>67</v>
      </c>
      <c r="G233" t="s">
        <v>218</v>
      </c>
      <c r="H233" t="s">
        <v>11</v>
      </c>
      <c r="I233">
        <v>7</v>
      </c>
      <c r="J233" t="s">
        <v>15</v>
      </c>
      <c r="K233">
        <f t="shared" si="3"/>
        <v>47</v>
      </c>
      <c r="L233" cm="1">
        <f t="array" ref="L233">IFERROR(SUMPRODUCT((COUNTIF($D$2:$D$648,$D$2:$D$648)&gt;COUNTIF($D$2:$D$648,D233))/COUNTIF($D$2:$D$648,$D$2:$D$648))+1,"")</f>
        <v>1</v>
      </c>
    </row>
    <row r="234" spans="1:12" x14ac:dyDescent="0.3">
      <c r="A234" t="s">
        <v>147</v>
      </c>
      <c r="B234" s="3">
        <v>46301</v>
      </c>
      <c r="C234" t="s">
        <v>816</v>
      </c>
      <c r="D234" t="s">
        <v>77</v>
      </c>
      <c r="E234" t="s">
        <v>14</v>
      </c>
      <c r="F234" t="s">
        <v>523</v>
      </c>
      <c r="G234" t="s">
        <v>218</v>
      </c>
      <c r="H234" t="s">
        <v>11</v>
      </c>
      <c r="I234">
        <v>5</v>
      </c>
      <c r="J234" t="s">
        <v>44</v>
      </c>
      <c r="K234">
        <f t="shared" si="3"/>
        <v>7</v>
      </c>
      <c r="L234" cm="1">
        <f t="array" ref="L234">IFERROR(SUMPRODUCT((COUNTIF($D$2:$D$648,$D$2:$D$648)&gt;COUNTIF($D$2:$D$648,D234))/COUNTIF($D$2:$D$648,$D$2:$D$648))+1,"")</f>
        <v>31.999999999999968</v>
      </c>
    </row>
    <row r="235" spans="1:12" x14ac:dyDescent="0.3">
      <c r="A235" t="s">
        <v>147</v>
      </c>
      <c r="B235" s="3">
        <v>46301</v>
      </c>
      <c r="C235" t="s">
        <v>816</v>
      </c>
      <c r="D235" t="s">
        <v>151</v>
      </c>
      <c r="E235" t="s">
        <v>114</v>
      </c>
      <c r="F235" t="s">
        <v>316</v>
      </c>
      <c r="G235" t="s">
        <v>267</v>
      </c>
      <c r="H235" t="s">
        <v>11</v>
      </c>
      <c r="I235">
        <v>5</v>
      </c>
      <c r="J235" t="s">
        <v>49</v>
      </c>
      <c r="K235">
        <f t="shared" si="3"/>
        <v>1</v>
      </c>
      <c r="L235" cm="1">
        <f t="array" ref="L235">IFERROR(SUMPRODUCT((COUNTIF($D$2:$D$648,$D$2:$D$648)&gt;COUNTIF($D$2:$D$648,D235))/COUNTIF($D$2:$D$648,$D$2:$D$648))+1,"")</f>
        <v>80.000000000000426</v>
      </c>
    </row>
    <row r="236" spans="1:12" x14ac:dyDescent="0.3">
      <c r="A236" t="s">
        <v>147</v>
      </c>
      <c r="B236" s="3">
        <v>46301</v>
      </c>
      <c r="C236" t="s">
        <v>816</v>
      </c>
      <c r="D236" t="s">
        <v>48</v>
      </c>
      <c r="E236" t="s">
        <v>20</v>
      </c>
      <c r="F236" t="s">
        <v>524</v>
      </c>
      <c r="G236" t="s">
        <v>228</v>
      </c>
      <c r="H236" t="s">
        <v>11</v>
      </c>
      <c r="I236">
        <v>5</v>
      </c>
      <c r="J236" t="s">
        <v>49</v>
      </c>
      <c r="K236">
        <f t="shared" si="3"/>
        <v>18</v>
      </c>
      <c r="L236" cm="1">
        <f t="array" ref="L236">IFERROR(SUMPRODUCT((COUNTIF($D$2:$D$648,$D$2:$D$648)&gt;COUNTIF($D$2:$D$648,D236))/COUNTIF($D$2:$D$648,$D$2:$D$648))+1,"")</f>
        <v>5.0000000000000009</v>
      </c>
    </row>
    <row r="237" spans="1:12" x14ac:dyDescent="0.3">
      <c r="A237" t="s">
        <v>147</v>
      </c>
      <c r="B237" s="3">
        <v>46301</v>
      </c>
      <c r="C237" t="s">
        <v>816</v>
      </c>
      <c r="D237" t="s">
        <v>121</v>
      </c>
      <c r="E237" t="s">
        <v>17</v>
      </c>
      <c r="F237" t="s">
        <v>525</v>
      </c>
      <c r="G237" t="s">
        <v>265</v>
      </c>
      <c r="H237" t="s">
        <v>11</v>
      </c>
      <c r="I237">
        <v>5</v>
      </c>
      <c r="J237" t="s">
        <v>65</v>
      </c>
      <c r="K237">
        <f t="shared" si="3"/>
        <v>8</v>
      </c>
      <c r="L237" cm="1">
        <f t="array" ref="L237">IFERROR(SUMPRODUCT((COUNTIF($D$2:$D$648,$D$2:$D$648)&gt;COUNTIF($D$2:$D$648,D237))/COUNTIF($D$2:$D$648,$D$2:$D$648))+1,"")</f>
        <v>24.999999999999957</v>
      </c>
    </row>
    <row r="238" spans="1:12" x14ac:dyDescent="0.3">
      <c r="A238" t="s">
        <v>147</v>
      </c>
      <c r="B238" s="3">
        <v>46301</v>
      </c>
      <c r="C238" t="s">
        <v>816</v>
      </c>
      <c r="D238" t="s">
        <v>88</v>
      </c>
      <c r="E238" t="s">
        <v>23</v>
      </c>
      <c r="F238" t="s">
        <v>316</v>
      </c>
      <c r="G238" t="s">
        <v>249</v>
      </c>
      <c r="H238" t="s">
        <v>11</v>
      </c>
      <c r="I238">
        <v>5</v>
      </c>
      <c r="J238" t="s">
        <v>24</v>
      </c>
      <c r="K238">
        <f t="shared" si="3"/>
        <v>12</v>
      </c>
      <c r="L238" cm="1">
        <f t="array" ref="L238">IFERROR(SUMPRODUCT((COUNTIF($D$2:$D$648,$D$2:$D$648)&gt;COUNTIF($D$2:$D$648,D238))/COUNTIF($D$2:$D$648,$D$2:$D$648))+1,"")</f>
        <v>10.999999999999973</v>
      </c>
    </row>
    <row r="239" spans="1:12" x14ac:dyDescent="0.3">
      <c r="A239" t="s">
        <v>147</v>
      </c>
      <c r="B239" s="3">
        <v>46303</v>
      </c>
      <c r="C239" t="s">
        <v>814</v>
      </c>
      <c r="D239" t="s">
        <v>94</v>
      </c>
      <c r="E239" t="s">
        <v>67</v>
      </c>
      <c r="F239" t="s">
        <v>526</v>
      </c>
      <c r="G239" t="s">
        <v>253</v>
      </c>
      <c r="H239" t="s">
        <v>11</v>
      </c>
      <c r="I239">
        <v>3</v>
      </c>
      <c r="J239" t="s">
        <v>98</v>
      </c>
      <c r="K239">
        <f t="shared" si="3"/>
        <v>10</v>
      </c>
      <c r="L239" cm="1">
        <f t="array" ref="L239">IFERROR(SUMPRODUCT((COUNTIF($D$2:$D$648,$D$2:$D$648)&gt;COUNTIF($D$2:$D$648,D239))/COUNTIF($D$2:$D$648,$D$2:$D$648))+1,"")</f>
        <v>17.999999999999975</v>
      </c>
    </row>
    <row r="240" spans="1:12" x14ac:dyDescent="0.3">
      <c r="A240" t="s">
        <v>147</v>
      </c>
      <c r="B240" s="3">
        <v>46303</v>
      </c>
      <c r="C240" t="s">
        <v>814</v>
      </c>
      <c r="D240" t="s">
        <v>152</v>
      </c>
      <c r="E240" t="s">
        <v>20</v>
      </c>
      <c r="F240" t="s">
        <v>527</v>
      </c>
      <c r="G240" t="s">
        <v>258</v>
      </c>
      <c r="H240" t="s">
        <v>11</v>
      </c>
      <c r="I240">
        <v>3</v>
      </c>
      <c r="J240" t="s">
        <v>98</v>
      </c>
      <c r="K240">
        <f t="shared" si="3"/>
        <v>7</v>
      </c>
      <c r="L240" cm="1">
        <f t="array" ref="L240">IFERROR(SUMPRODUCT((COUNTIF($D$2:$D$648,$D$2:$D$648)&gt;COUNTIF($D$2:$D$648,D240))/COUNTIF($D$2:$D$648,$D$2:$D$648))+1,"")</f>
        <v>31.999999999999968</v>
      </c>
    </row>
    <row r="241" spans="1:12" x14ac:dyDescent="0.3">
      <c r="A241" t="s">
        <v>147</v>
      </c>
      <c r="B241" s="3">
        <v>46303</v>
      </c>
      <c r="C241" t="s">
        <v>814</v>
      </c>
      <c r="D241" t="s">
        <v>63</v>
      </c>
      <c r="E241" t="s">
        <v>14</v>
      </c>
      <c r="F241" t="s">
        <v>528</v>
      </c>
      <c r="G241" t="s">
        <v>236</v>
      </c>
      <c r="H241" t="s">
        <v>11</v>
      </c>
      <c r="I241">
        <v>3</v>
      </c>
      <c r="J241" t="s">
        <v>29</v>
      </c>
      <c r="K241">
        <f t="shared" si="3"/>
        <v>8</v>
      </c>
      <c r="L241" cm="1">
        <f t="array" ref="L241">IFERROR(SUMPRODUCT((COUNTIF($D$2:$D$648,$D$2:$D$648)&gt;COUNTIF($D$2:$D$648,D241))/COUNTIF($D$2:$D$648,$D$2:$D$648))+1,"")</f>
        <v>24.999999999999957</v>
      </c>
    </row>
    <row r="242" spans="1:12" x14ac:dyDescent="0.3">
      <c r="A242" t="s">
        <v>147</v>
      </c>
      <c r="B242" s="3">
        <v>46303</v>
      </c>
      <c r="C242" t="s">
        <v>814</v>
      </c>
      <c r="D242" t="s">
        <v>88</v>
      </c>
      <c r="E242" t="s">
        <v>23</v>
      </c>
      <c r="F242" t="s">
        <v>316</v>
      </c>
      <c r="G242" t="s">
        <v>249</v>
      </c>
      <c r="H242" t="s">
        <v>11</v>
      </c>
      <c r="I242">
        <v>3</v>
      </c>
      <c r="J242" t="s">
        <v>54</v>
      </c>
      <c r="K242">
        <f t="shared" si="3"/>
        <v>12</v>
      </c>
      <c r="L242" cm="1">
        <f t="array" ref="L242">IFERROR(SUMPRODUCT((COUNTIF($D$2:$D$648,$D$2:$D$648)&gt;COUNTIF($D$2:$D$648,D242))/COUNTIF($D$2:$D$648,$D$2:$D$648))+1,"")</f>
        <v>10.999999999999973</v>
      </c>
    </row>
    <row r="243" spans="1:12" x14ac:dyDescent="0.3">
      <c r="A243" t="s">
        <v>147</v>
      </c>
      <c r="B243" s="3">
        <v>46304</v>
      </c>
      <c r="C243" t="s">
        <v>817</v>
      </c>
      <c r="D243" t="s">
        <v>94</v>
      </c>
      <c r="E243" t="s">
        <v>67</v>
      </c>
      <c r="F243" t="s">
        <v>526</v>
      </c>
      <c r="G243" t="s">
        <v>253</v>
      </c>
      <c r="H243" t="s">
        <v>11</v>
      </c>
      <c r="I243">
        <v>3</v>
      </c>
      <c r="J243" t="s">
        <v>59</v>
      </c>
      <c r="K243">
        <f t="shared" si="3"/>
        <v>10</v>
      </c>
      <c r="L243" cm="1">
        <f t="array" ref="L243">IFERROR(SUMPRODUCT((COUNTIF($D$2:$D$648,$D$2:$D$648)&gt;COUNTIF($D$2:$D$648,D243))/COUNTIF($D$2:$D$648,$D$2:$D$648))+1,"")</f>
        <v>17.999999999999975</v>
      </c>
    </row>
    <row r="244" spans="1:12" x14ac:dyDescent="0.3">
      <c r="A244" t="s">
        <v>147</v>
      </c>
      <c r="B244" s="3">
        <v>46304</v>
      </c>
      <c r="C244" t="s">
        <v>817</v>
      </c>
      <c r="D244" t="s">
        <v>73</v>
      </c>
      <c r="E244" t="s">
        <v>20</v>
      </c>
      <c r="G244" t="s">
        <v>234</v>
      </c>
      <c r="H244" t="s">
        <v>11</v>
      </c>
      <c r="I244">
        <v>4</v>
      </c>
      <c r="J244" t="s">
        <v>40</v>
      </c>
      <c r="K244">
        <f t="shared" si="3"/>
        <v>11</v>
      </c>
      <c r="L244" cm="1">
        <f t="array" ref="L244">IFERROR(SUMPRODUCT((COUNTIF($D$2:$D$648,$D$2:$D$648)&gt;COUNTIF($D$2:$D$648,D244))/COUNTIF($D$2:$D$648,$D$2:$D$648))+1,"")</f>
        <v>11.999999999999961</v>
      </c>
    </row>
    <row r="245" spans="1:12" x14ac:dyDescent="0.3">
      <c r="A245" t="s">
        <v>147</v>
      </c>
      <c r="B245" s="3">
        <v>46304</v>
      </c>
      <c r="C245" t="s">
        <v>817</v>
      </c>
      <c r="D245" t="s">
        <v>88</v>
      </c>
      <c r="E245" t="s">
        <v>23</v>
      </c>
      <c r="F245" t="s">
        <v>529</v>
      </c>
      <c r="G245" t="s">
        <v>249</v>
      </c>
      <c r="H245" t="s">
        <v>11</v>
      </c>
      <c r="I245">
        <v>4</v>
      </c>
      <c r="J245" t="s">
        <v>40</v>
      </c>
      <c r="K245">
        <f t="shared" si="3"/>
        <v>12</v>
      </c>
      <c r="L245" cm="1">
        <f t="array" ref="L245">IFERROR(SUMPRODUCT((COUNTIF($D$2:$D$648,$D$2:$D$648)&gt;COUNTIF($D$2:$D$648,D245))/COUNTIF($D$2:$D$648,$D$2:$D$648))+1,"")</f>
        <v>10.999999999999973</v>
      </c>
    </row>
    <row r="246" spans="1:12" x14ac:dyDescent="0.3">
      <c r="A246" t="s">
        <v>147</v>
      </c>
      <c r="B246" s="3">
        <v>46315</v>
      </c>
      <c r="C246" t="s">
        <v>816</v>
      </c>
      <c r="D246" t="s">
        <v>88</v>
      </c>
      <c r="E246" t="s">
        <v>62</v>
      </c>
      <c r="F246" t="s">
        <v>317</v>
      </c>
      <c r="G246" t="s">
        <v>249</v>
      </c>
      <c r="H246" t="s">
        <v>11</v>
      </c>
      <c r="I246">
        <v>4</v>
      </c>
      <c r="J246" t="s">
        <v>153</v>
      </c>
      <c r="K246">
        <f t="shared" si="3"/>
        <v>12</v>
      </c>
      <c r="L246" cm="1">
        <f t="array" ref="L246">IFERROR(SUMPRODUCT((COUNTIF($D$2:$D$648,$D$2:$D$648)&gt;COUNTIF($D$2:$D$648,D246))/COUNTIF($D$2:$D$648,$D$2:$D$648))+1,"")</f>
        <v>10.999999999999973</v>
      </c>
    </row>
    <row r="247" spans="1:12" x14ac:dyDescent="0.3">
      <c r="A247" t="s">
        <v>147</v>
      </c>
      <c r="B247" s="3">
        <v>46315</v>
      </c>
      <c r="C247" t="s">
        <v>816</v>
      </c>
      <c r="D247" t="s">
        <v>71</v>
      </c>
      <c r="E247" t="s">
        <v>23</v>
      </c>
      <c r="F247" t="s">
        <v>530</v>
      </c>
      <c r="G247" t="s">
        <v>240</v>
      </c>
      <c r="H247" t="s">
        <v>11</v>
      </c>
      <c r="I247">
        <v>5</v>
      </c>
      <c r="J247" t="s">
        <v>44</v>
      </c>
      <c r="K247">
        <f t="shared" si="3"/>
        <v>13</v>
      </c>
      <c r="L247" cm="1">
        <f t="array" ref="L247">IFERROR(SUMPRODUCT((COUNTIF($D$2:$D$648,$D$2:$D$648)&gt;COUNTIF($D$2:$D$648,D247))/COUNTIF($D$2:$D$648,$D$2:$D$648))+1,"")</f>
        <v>7.999999999999992</v>
      </c>
    </row>
    <row r="248" spans="1:12" x14ac:dyDescent="0.3">
      <c r="A248" t="s">
        <v>147</v>
      </c>
      <c r="B248" s="3">
        <v>46315</v>
      </c>
      <c r="C248" t="s">
        <v>816</v>
      </c>
      <c r="D248" t="s">
        <v>148</v>
      </c>
      <c r="E248" t="s">
        <v>20</v>
      </c>
      <c r="F248" t="s">
        <v>531</v>
      </c>
      <c r="G248" t="s">
        <v>279</v>
      </c>
      <c r="H248" t="s">
        <v>11</v>
      </c>
      <c r="I248">
        <v>5</v>
      </c>
      <c r="J248" t="s">
        <v>135</v>
      </c>
      <c r="K248">
        <f t="shared" si="3"/>
        <v>4</v>
      </c>
      <c r="L248" cm="1">
        <f t="array" ref="L248">IFERROR(SUMPRODUCT((COUNTIF($D$2:$D$648,$D$2:$D$648)&gt;COUNTIF($D$2:$D$648,D248))/COUNTIF($D$2:$D$648,$D$2:$D$648))+1,"")</f>
        <v>52.000000000000306</v>
      </c>
    </row>
    <row r="249" spans="1:12" x14ac:dyDescent="0.3">
      <c r="A249" t="s">
        <v>147</v>
      </c>
      <c r="B249" s="3">
        <v>46315</v>
      </c>
      <c r="C249" t="s">
        <v>816</v>
      </c>
      <c r="D249" t="s">
        <v>95</v>
      </c>
      <c r="E249" t="s">
        <v>67</v>
      </c>
      <c r="F249" t="s">
        <v>532</v>
      </c>
      <c r="G249" t="s">
        <v>254</v>
      </c>
      <c r="H249" t="s">
        <v>11</v>
      </c>
      <c r="I249">
        <v>5</v>
      </c>
      <c r="J249" t="s">
        <v>75</v>
      </c>
      <c r="K249">
        <f t="shared" si="3"/>
        <v>11</v>
      </c>
      <c r="L249" cm="1">
        <f t="array" ref="L249">IFERROR(SUMPRODUCT((COUNTIF($D$2:$D$648,$D$2:$D$648)&gt;COUNTIF($D$2:$D$648,D249))/COUNTIF($D$2:$D$648,$D$2:$D$648))+1,"")</f>
        <v>11.999999999999961</v>
      </c>
    </row>
    <row r="250" spans="1:12" x14ac:dyDescent="0.3">
      <c r="A250" t="s">
        <v>147</v>
      </c>
      <c r="B250" s="3">
        <v>46315</v>
      </c>
      <c r="C250" t="s">
        <v>816</v>
      </c>
      <c r="D250" t="s">
        <v>42</v>
      </c>
      <c r="E250" t="s">
        <v>14</v>
      </c>
      <c r="F250" t="s">
        <v>533</v>
      </c>
      <c r="G250" t="s">
        <v>225</v>
      </c>
      <c r="H250" t="s">
        <v>11</v>
      </c>
      <c r="I250">
        <v>7</v>
      </c>
      <c r="J250" t="s">
        <v>15</v>
      </c>
      <c r="K250">
        <f t="shared" si="3"/>
        <v>5</v>
      </c>
      <c r="L250" cm="1">
        <f t="array" ref="L250">IFERROR(SUMPRODUCT((COUNTIF($D$2:$D$648,$D$2:$D$648)&gt;COUNTIF($D$2:$D$648,D250))/COUNTIF($D$2:$D$648,$D$2:$D$648))+1,"")</f>
        <v>43.000000000000199</v>
      </c>
    </row>
    <row r="251" spans="1:12" x14ac:dyDescent="0.3">
      <c r="A251" t="s">
        <v>147</v>
      </c>
      <c r="B251" s="3">
        <v>46316</v>
      </c>
      <c r="C251" t="s">
        <v>812</v>
      </c>
      <c r="D251" t="s">
        <v>71</v>
      </c>
      <c r="E251" t="s">
        <v>23</v>
      </c>
      <c r="F251" t="s">
        <v>534</v>
      </c>
      <c r="G251" t="s">
        <v>240</v>
      </c>
      <c r="H251" t="s">
        <v>11</v>
      </c>
      <c r="I251">
        <v>2</v>
      </c>
      <c r="J251" t="s">
        <v>154</v>
      </c>
      <c r="K251">
        <f t="shared" si="3"/>
        <v>13</v>
      </c>
      <c r="L251" cm="1">
        <f t="array" ref="L251">IFERROR(SUMPRODUCT((COUNTIF($D$2:$D$648,$D$2:$D$648)&gt;COUNTIF($D$2:$D$648,D251))/COUNTIF($D$2:$D$648,$D$2:$D$648))+1,"")</f>
        <v>7.999999999999992</v>
      </c>
    </row>
    <row r="252" spans="1:12" x14ac:dyDescent="0.3">
      <c r="A252" t="s">
        <v>147</v>
      </c>
      <c r="B252" s="3">
        <v>46316</v>
      </c>
      <c r="C252" t="s">
        <v>812</v>
      </c>
      <c r="D252" t="s">
        <v>132</v>
      </c>
      <c r="E252" t="s">
        <v>17</v>
      </c>
      <c r="F252" t="s">
        <v>535</v>
      </c>
      <c r="G252" t="s">
        <v>266</v>
      </c>
      <c r="H252" t="s">
        <v>11</v>
      </c>
      <c r="I252">
        <v>3</v>
      </c>
      <c r="J252" t="s">
        <v>155</v>
      </c>
      <c r="K252">
        <f t="shared" si="3"/>
        <v>2</v>
      </c>
      <c r="L252" cm="1">
        <f t="array" ref="L252">IFERROR(SUMPRODUCT((COUNTIF($D$2:$D$648,$D$2:$D$648)&gt;COUNTIF($D$2:$D$648,D252))/COUNTIF($D$2:$D$648,$D$2:$D$648))+1,"")</f>
        <v>65.000000000000426</v>
      </c>
    </row>
    <row r="253" spans="1:12" x14ac:dyDescent="0.3">
      <c r="A253" t="s">
        <v>147</v>
      </c>
      <c r="B253" s="3">
        <v>46316</v>
      </c>
      <c r="C253" t="s">
        <v>812</v>
      </c>
      <c r="D253" t="s">
        <v>134</v>
      </c>
      <c r="E253" t="s">
        <v>14</v>
      </c>
      <c r="F253" t="s">
        <v>536</v>
      </c>
      <c r="G253" t="s">
        <v>269</v>
      </c>
      <c r="H253" t="s">
        <v>11</v>
      </c>
      <c r="I253">
        <v>2</v>
      </c>
      <c r="J253" t="s">
        <v>156</v>
      </c>
      <c r="K253">
        <f t="shared" si="3"/>
        <v>3</v>
      </c>
      <c r="L253" cm="1">
        <f t="array" ref="L253">IFERROR(SUMPRODUCT((COUNTIF($D$2:$D$648,$D$2:$D$648)&gt;COUNTIF($D$2:$D$648,D253))/COUNTIF($D$2:$D$648,$D$2:$D$648))+1,"")</f>
        <v>58.000000000000348</v>
      </c>
    </row>
    <row r="254" spans="1:12" x14ac:dyDescent="0.3">
      <c r="A254" t="s">
        <v>147</v>
      </c>
      <c r="B254" s="3">
        <v>46316</v>
      </c>
      <c r="C254" t="s">
        <v>812</v>
      </c>
      <c r="D254" t="s">
        <v>88</v>
      </c>
      <c r="E254" t="s">
        <v>20</v>
      </c>
      <c r="F254" t="s">
        <v>537</v>
      </c>
      <c r="G254" t="s">
        <v>249</v>
      </c>
      <c r="H254" t="s">
        <v>11</v>
      </c>
      <c r="I254">
        <v>3</v>
      </c>
      <c r="J254" t="s">
        <v>155</v>
      </c>
      <c r="K254">
        <f t="shared" si="3"/>
        <v>12</v>
      </c>
      <c r="L254" cm="1">
        <f t="array" ref="L254">IFERROR(SUMPRODUCT((COUNTIF($D$2:$D$648,$D$2:$D$648)&gt;COUNTIF($D$2:$D$648,D254))/COUNTIF($D$2:$D$648,$D$2:$D$648))+1,"")</f>
        <v>10.999999999999973</v>
      </c>
    </row>
    <row r="255" spans="1:12" x14ac:dyDescent="0.3">
      <c r="A255" t="s">
        <v>147</v>
      </c>
      <c r="B255" s="3">
        <v>46316</v>
      </c>
      <c r="C255" t="s">
        <v>812</v>
      </c>
      <c r="D255" t="s">
        <v>144</v>
      </c>
      <c r="E255" t="s">
        <v>67</v>
      </c>
      <c r="F255" t="s">
        <v>538</v>
      </c>
      <c r="G255" t="s">
        <v>244</v>
      </c>
      <c r="H255" t="s">
        <v>11</v>
      </c>
      <c r="I255">
        <v>2</v>
      </c>
      <c r="J255" t="s">
        <v>154</v>
      </c>
      <c r="K255">
        <f t="shared" si="3"/>
        <v>9</v>
      </c>
      <c r="L255" cm="1">
        <f t="array" ref="L255">IFERROR(SUMPRODUCT((COUNTIF($D$2:$D$648,$D$2:$D$648)&gt;COUNTIF($D$2:$D$648,D255))/COUNTIF($D$2:$D$648,$D$2:$D$648))+1,"")</f>
        <v>21.999999999999968</v>
      </c>
    </row>
    <row r="256" spans="1:12" x14ac:dyDescent="0.3">
      <c r="A256" t="s">
        <v>147</v>
      </c>
      <c r="B256" s="3">
        <v>46317</v>
      </c>
      <c r="C256" t="s">
        <v>814</v>
      </c>
      <c r="D256" t="s">
        <v>13</v>
      </c>
      <c r="E256" t="s">
        <v>17</v>
      </c>
      <c r="G256" t="s">
        <v>218</v>
      </c>
      <c r="H256" t="s">
        <v>11</v>
      </c>
      <c r="I256">
        <v>4</v>
      </c>
      <c r="J256" t="s">
        <v>30</v>
      </c>
      <c r="K256">
        <f t="shared" si="3"/>
        <v>47</v>
      </c>
      <c r="L256" cm="1">
        <f t="array" ref="L256">IFERROR(SUMPRODUCT((COUNTIF($D$2:$D$648,$D$2:$D$648)&gt;COUNTIF($D$2:$D$648,D256))/COUNTIF($D$2:$D$648,$D$2:$D$648))+1,"")</f>
        <v>1</v>
      </c>
    </row>
    <row r="257" spans="1:12" x14ac:dyDescent="0.3">
      <c r="A257" t="s">
        <v>147</v>
      </c>
      <c r="B257" s="3">
        <v>46317</v>
      </c>
      <c r="C257" t="s">
        <v>814</v>
      </c>
      <c r="D257" t="s">
        <v>144</v>
      </c>
      <c r="E257" t="s">
        <v>157</v>
      </c>
      <c r="F257" t="s">
        <v>318</v>
      </c>
      <c r="G257" t="s">
        <v>244</v>
      </c>
      <c r="H257" t="s">
        <v>11</v>
      </c>
      <c r="I257">
        <v>3</v>
      </c>
      <c r="J257" t="s">
        <v>54</v>
      </c>
      <c r="K257">
        <f t="shared" si="3"/>
        <v>9</v>
      </c>
      <c r="L257" cm="1">
        <f t="array" ref="L257">IFERROR(SUMPRODUCT((COUNTIF($D$2:$D$648,$D$2:$D$648)&gt;COUNTIF($D$2:$D$648,D257))/COUNTIF($D$2:$D$648,$D$2:$D$648))+1,"")</f>
        <v>21.999999999999968</v>
      </c>
    </row>
    <row r="258" spans="1:12" x14ac:dyDescent="0.3">
      <c r="A258" t="s">
        <v>147</v>
      </c>
      <c r="B258" s="3">
        <v>46317</v>
      </c>
      <c r="C258" t="s">
        <v>814</v>
      </c>
      <c r="D258" t="s">
        <v>71</v>
      </c>
      <c r="E258" t="s">
        <v>14</v>
      </c>
      <c r="F258" t="s">
        <v>539</v>
      </c>
      <c r="G258" t="s">
        <v>240</v>
      </c>
      <c r="H258" t="s">
        <v>11</v>
      </c>
      <c r="I258">
        <v>3</v>
      </c>
      <c r="J258" t="s">
        <v>54</v>
      </c>
      <c r="K258">
        <f t="shared" ref="K258:K321" si="4">COUNTIF($D$2:$D$700,D258)</f>
        <v>13</v>
      </c>
      <c r="L258" cm="1">
        <f t="array" ref="L258">IFERROR(SUMPRODUCT((COUNTIF($D$2:$D$648,$D$2:$D$648)&gt;COUNTIF($D$2:$D$648,D258))/COUNTIF($D$2:$D$648,$D$2:$D$648))+1,"")</f>
        <v>7.999999999999992</v>
      </c>
    </row>
    <row r="259" spans="1:12" x14ac:dyDescent="0.3">
      <c r="A259" t="s">
        <v>147</v>
      </c>
      <c r="B259" s="3">
        <v>46317</v>
      </c>
      <c r="C259" t="s">
        <v>814</v>
      </c>
      <c r="D259" t="s">
        <v>43</v>
      </c>
      <c r="E259" t="s">
        <v>62</v>
      </c>
      <c r="F259" t="s">
        <v>319</v>
      </c>
      <c r="G259" t="s">
        <v>252</v>
      </c>
      <c r="H259" t="s">
        <v>11</v>
      </c>
      <c r="I259">
        <v>3</v>
      </c>
      <c r="J259" t="s">
        <v>54</v>
      </c>
      <c r="K259">
        <f t="shared" si="4"/>
        <v>15</v>
      </c>
      <c r="L259" cm="1">
        <f t="array" ref="L259">IFERROR(SUMPRODUCT((COUNTIF($D$2:$D$648,$D$2:$D$648)&gt;COUNTIF($D$2:$D$648,D259))/COUNTIF($D$2:$D$648,$D$2:$D$648))+1,"")</f>
        <v>6.9999999999999947</v>
      </c>
    </row>
    <row r="260" spans="1:12" x14ac:dyDescent="0.3">
      <c r="A260" t="s">
        <v>147</v>
      </c>
      <c r="B260" s="3">
        <v>46317</v>
      </c>
      <c r="C260" t="s">
        <v>814</v>
      </c>
      <c r="D260" t="s">
        <v>48</v>
      </c>
      <c r="E260" t="s">
        <v>23</v>
      </c>
      <c r="F260" t="s">
        <v>540</v>
      </c>
      <c r="G260" t="s">
        <v>228</v>
      </c>
      <c r="H260" t="s">
        <v>11</v>
      </c>
      <c r="I260">
        <v>3</v>
      </c>
      <c r="J260" t="s">
        <v>29</v>
      </c>
      <c r="K260">
        <f t="shared" si="4"/>
        <v>18</v>
      </c>
      <c r="L260" cm="1">
        <f t="array" ref="L260">IFERROR(SUMPRODUCT((COUNTIF($D$2:$D$648,$D$2:$D$648)&gt;COUNTIF($D$2:$D$648,D260))/COUNTIF($D$2:$D$648,$D$2:$D$648))+1,"")</f>
        <v>5.0000000000000009</v>
      </c>
    </row>
    <row r="261" spans="1:12" x14ac:dyDescent="0.3">
      <c r="A261" t="s">
        <v>147</v>
      </c>
      <c r="B261" s="3">
        <v>46318</v>
      </c>
      <c r="C261" t="s">
        <v>817</v>
      </c>
      <c r="D261" t="s">
        <v>149</v>
      </c>
      <c r="E261" t="s">
        <v>14</v>
      </c>
      <c r="F261" t="s">
        <v>541</v>
      </c>
      <c r="G261" t="s">
        <v>278</v>
      </c>
      <c r="H261" t="s">
        <v>11</v>
      </c>
      <c r="I261">
        <v>4</v>
      </c>
      <c r="J261" t="s">
        <v>40</v>
      </c>
      <c r="K261">
        <f t="shared" si="4"/>
        <v>6</v>
      </c>
      <c r="L261" cm="1">
        <f t="array" ref="L261">IFERROR(SUMPRODUCT((COUNTIF($D$2:$D$648,$D$2:$D$648)&gt;COUNTIF($D$2:$D$648,D261))/COUNTIF($D$2:$D$648,$D$2:$D$648))+1,"")</f>
        <v>39.000000000000114</v>
      </c>
    </row>
    <row r="262" spans="1:12" x14ac:dyDescent="0.3">
      <c r="A262" t="s">
        <v>147</v>
      </c>
      <c r="B262" s="3">
        <v>46318</v>
      </c>
      <c r="C262" t="s">
        <v>817</v>
      </c>
      <c r="D262" t="s">
        <v>71</v>
      </c>
      <c r="E262" t="s">
        <v>23</v>
      </c>
      <c r="F262" t="s">
        <v>542</v>
      </c>
      <c r="G262" t="s">
        <v>240</v>
      </c>
      <c r="H262" t="s">
        <v>11</v>
      </c>
      <c r="I262">
        <v>4</v>
      </c>
      <c r="J262" t="s">
        <v>40</v>
      </c>
      <c r="K262">
        <f t="shared" si="4"/>
        <v>13</v>
      </c>
      <c r="L262" cm="1">
        <f t="array" ref="L262">IFERROR(SUMPRODUCT((COUNTIF($D$2:$D$648,$D$2:$D$648)&gt;COUNTIF($D$2:$D$648,D262))/COUNTIF($D$2:$D$648,$D$2:$D$648))+1,"")</f>
        <v>7.999999999999992</v>
      </c>
    </row>
    <row r="263" spans="1:12" x14ac:dyDescent="0.3">
      <c r="A263" t="s">
        <v>147</v>
      </c>
      <c r="B263" s="3">
        <v>46318</v>
      </c>
      <c r="C263" t="s">
        <v>817</v>
      </c>
      <c r="D263" t="s">
        <v>158</v>
      </c>
      <c r="E263" t="s">
        <v>20</v>
      </c>
      <c r="F263" t="s">
        <v>543</v>
      </c>
      <c r="G263" t="s">
        <v>247</v>
      </c>
      <c r="H263" t="s">
        <v>11</v>
      </c>
      <c r="I263">
        <v>4</v>
      </c>
      <c r="J263" t="s">
        <v>40</v>
      </c>
      <c r="K263">
        <f t="shared" si="4"/>
        <v>1</v>
      </c>
      <c r="L263" cm="1">
        <f t="array" ref="L263">IFERROR(SUMPRODUCT((COUNTIF($D$2:$D$648,$D$2:$D$648)&gt;COUNTIF($D$2:$D$648,D263))/COUNTIF($D$2:$D$648,$D$2:$D$648))+1,"")</f>
        <v>80.000000000000426</v>
      </c>
    </row>
    <row r="264" spans="1:12" x14ac:dyDescent="0.3">
      <c r="A264" t="s">
        <v>147</v>
      </c>
      <c r="B264" s="3">
        <v>46318</v>
      </c>
      <c r="C264" t="s">
        <v>817</v>
      </c>
      <c r="D264" t="s">
        <v>100</v>
      </c>
      <c r="E264" t="s">
        <v>20</v>
      </c>
      <c r="F264" t="s">
        <v>544</v>
      </c>
      <c r="H264" t="s">
        <v>11</v>
      </c>
      <c r="I264">
        <v>4</v>
      </c>
      <c r="J264" t="s">
        <v>40</v>
      </c>
      <c r="K264">
        <f t="shared" si="4"/>
        <v>3</v>
      </c>
      <c r="L264" cm="1">
        <f t="array" ref="L264">IFERROR(SUMPRODUCT((COUNTIF($D$2:$D$648,$D$2:$D$648)&gt;COUNTIF($D$2:$D$648,D264))/COUNTIF($D$2:$D$648,$D$2:$D$648))+1,"")</f>
        <v>58.000000000000348</v>
      </c>
    </row>
    <row r="265" spans="1:12" x14ac:dyDescent="0.3">
      <c r="A265" t="s">
        <v>147</v>
      </c>
      <c r="B265" s="3">
        <v>46318</v>
      </c>
      <c r="C265" t="s">
        <v>817</v>
      </c>
      <c r="D265" t="s">
        <v>88</v>
      </c>
      <c r="E265" t="s">
        <v>17</v>
      </c>
      <c r="F265" t="s">
        <v>545</v>
      </c>
      <c r="G265" t="s">
        <v>249</v>
      </c>
      <c r="H265" t="s">
        <v>11</v>
      </c>
      <c r="I265">
        <v>4</v>
      </c>
      <c r="J265" t="s">
        <v>40</v>
      </c>
      <c r="K265">
        <f t="shared" si="4"/>
        <v>12</v>
      </c>
      <c r="L265" cm="1">
        <f t="array" ref="L265">IFERROR(SUMPRODUCT((COUNTIF($D$2:$D$648,$D$2:$D$648)&gt;COUNTIF($D$2:$D$648,D265))/COUNTIF($D$2:$D$648,$D$2:$D$648))+1,"")</f>
        <v>10.999999999999973</v>
      </c>
    </row>
    <row r="266" spans="1:12" x14ac:dyDescent="0.3">
      <c r="A266" t="s">
        <v>147</v>
      </c>
      <c r="B266" s="3">
        <v>46318</v>
      </c>
      <c r="C266" t="s">
        <v>817</v>
      </c>
      <c r="D266" t="s">
        <v>159</v>
      </c>
      <c r="E266" t="s">
        <v>84</v>
      </c>
      <c r="F266" t="s">
        <v>546</v>
      </c>
      <c r="G266" t="s">
        <v>260</v>
      </c>
      <c r="H266" t="s">
        <v>11</v>
      </c>
      <c r="I266">
        <v>4</v>
      </c>
      <c r="J266" t="s">
        <v>40</v>
      </c>
      <c r="K266">
        <f t="shared" si="4"/>
        <v>2</v>
      </c>
      <c r="L266" cm="1">
        <f t="array" ref="L266">IFERROR(SUMPRODUCT((COUNTIF($D$2:$D$648,$D$2:$D$648)&gt;COUNTIF($D$2:$D$648,D266))/COUNTIF($D$2:$D$648,$D$2:$D$648))+1,"")</f>
        <v>65.000000000000426</v>
      </c>
    </row>
    <row r="267" spans="1:12" x14ac:dyDescent="0.3">
      <c r="A267" t="s">
        <v>147</v>
      </c>
      <c r="B267" s="3">
        <v>46318</v>
      </c>
      <c r="C267" t="s">
        <v>817</v>
      </c>
      <c r="D267" t="s">
        <v>48</v>
      </c>
      <c r="E267" t="s">
        <v>67</v>
      </c>
      <c r="F267" t="s">
        <v>547</v>
      </c>
      <c r="G267" t="s">
        <v>228</v>
      </c>
      <c r="H267" t="s">
        <v>11</v>
      </c>
      <c r="I267">
        <v>4</v>
      </c>
      <c r="J267" t="s">
        <v>40</v>
      </c>
      <c r="K267">
        <f t="shared" si="4"/>
        <v>18</v>
      </c>
      <c r="L267" cm="1">
        <f t="array" ref="L267">IFERROR(SUMPRODUCT((COUNTIF($D$2:$D$648,$D$2:$D$648)&gt;COUNTIF($D$2:$D$648,D267))/COUNTIF($D$2:$D$648,$D$2:$D$648))+1,"")</f>
        <v>5.0000000000000009</v>
      </c>
    </row>
    <row r="268" spans="1:12" x14ac:dyDescent="0.3">
      <c r="A268" t="s">
        <v>147</v>
      </c>
      <c r="B268" s="3">
        <v>46318</v>
      </c>
      <c r="C268" t="s">
        <v>817</v>
      </c>
      <c r="D268" t="s">
        <v>63</v>
      </c>
      <c r="E268" t="s">
        <v>84</v>
      </c>
      <c r="G268" t="s">
        <v>236</v>
      </c>
      <c r="H268" t="s">
        <v>11</v>
      </c>
      <c r="I268">
        <v>4</v>
      </c>
      <c r="J268" t="s">
        <v>40</v>
      </c>
      <c r="K268">
        <f t="shared" si="4"/>
        <v>8</v>
      </c>
      <c r="L268" cm="1">
        <f t="array" ref="L268">IFERROR(SUMPRODUCT((COUNTIF($D$2:$D$648,$D$2:$D$648)&gt;COUNTIF($D$2:$D$648,D268))/COUNTIF($D$2:$D$648,$D$2:$D$648))+1,"")</f>
        <v>24.999999999999957</v>
      </c>
    </row>
    <row r="269" spans="1:12" x14ac:dyDescent="0.3">
      <c r="A269" t="s">
        <v>147</v>
      </c>
      <c r="B269" s="3">
        <v>46319</v>
      </c>
      <c r="C269" t="s">
        <v>815</v>
      </c>
      <c r="D269" t="s">
        <v>16</v>
      </c>
      <c r="E269" t="s">
        <v>17</v>
      </c>
      <c r="F269" t="s">
        <v>548</v>
      </c>
      <c r="G269" t="s">
        <v>219</v>
      </c>
      <c r="H269" t="s">
        <v>27</v>
      </c>
      <c r="I269">
        <v>5</v>
      </c>
      <c r="J269" t="s">
        <v>18</v>
      </c>
      <c r="K269">
        <f t="shared" si="4"/>
        <v>10</v>
      </c>
      <c r="L269" cm="1">
        <f t="array" ref="L269">IFERROR(SUMPRODUCT((COUNTIF($D$2:$D$648,$D$2:$D$648)&gt;COUNTIF($D$2:$D$648,D269))/COUNTIF($D$2:$D$648,$D$2:$D$648))+1,"")</f>
        <v>17.999999999999975</v>
      </c>
    </row>
    <row r="270" spans="1:12" x14ac:dyDescent="0.3">
      <c r="A270" t="s">
        <v>147</v>
      </c>
      <c r="B270" s="3">
        <v>46319</v>
      </c>
      <c r="C270" t="s">
        <v>815</v>
      </c>
      <c r="D270" t="s">
        <v>86</v>
      </c>
      <c r="E270" t="s">
        <v>14</v>
      </c>
      <c r="F270" t="s">
        <v>549</v>
      </c>
      <c r="G270" t="s">
        <v>248</v>
      </c>
      <c r="H270" t="s">
        <v>27</v>
      </c>
      <c r="I270">
        <v>5</v>
      </c>
      <c r="J270" t="s">
        <v>21</v>
      </c>
      <c r="K270">
        <f t="shared" si="4"/>
        <v>10</v>
      </c>
      <c r="L270" cm="1">
        <f t="array" ref="L270">IFERROR(SUMPRODUCT((COUNTIF($D$2:$D$648,$D$2:$D$648)&gt;COUNTIF($D$2:$D$648,D270))/COUNTIF($D$2:$D$648,$D$2:$D$648))+1,"")</f>
        <v>17.999999999999975</v>
      </c>
    </row>
    <row r="271" spans="1:12" x14ac:dyDescent="0.3">
      <c r="A271" t="s">
        <v>147</v>
      </c>
      <c r="B271" s="3">
        <v>46319</v>
      </c>
      <c r="C271" t="s">
        <v>815</v>
      </c>
      <c r="D271" t="s">
        <v>13</v>
      </c>
      <c r="E271" t="s">
        <v>84</v>
      </c>
      <c r="F271" t="s">
        <v>550</v>
      </c>
      <c r="G271" t="s">
        <v>218</v>
      </c>
      <c r="H271" t="s">
        <v>11</v>
      </c>
      <c r="I271">
        <v>7</v>
      </c>
      <c r="J271" t="s">
        <v>15</v>
      </c>
      <c r="K271">
        <f t="shared" si="4"/>
        <v>47</v>
      </c>
      <c r="L271" cm="1">
        <f t="array" ref="L271">IFERROR(SUMPRODUCT((COUNTIF($D$2:$D$648,$D$2:$D$648)&gt;COUNTIF($D$2:$D$648,D271))/COUNTIF($D$2:$D$648,$D$2:$D$648))+1,"")</f>
        <v>1</v>
      </c>
    </row>
    <row r="272" spans="1:12" x14ac:dyDescent="0.3">
      <c r="A272" t="s">
        <v>147</v>
      </c>
      <c r="B272" s="3">
        <v>46319</v>
      </c>
      <c r="C272" t="s">
        <v>815</v>
      </c>
      <c r="D272" t="s">
        <v>71</v>
      </c>
      <c r="E272" t="s">
        <v>67</v>
      </c>
      <c r="F272" t="s">
        <v>551</v>
      </c>
      <c r="G272" t="s">
        <v>240</v>
      </c>
      <c r="H272" t="s">
        <v>11</v>
      </c>
      <c r="I272">
        <v>5</v>
      </c>
      <c r="J272" t="s">
        <v>44</v>
      </c>
      <c r="K272">
        <f t="shared" si="4"/>
        <v>13</v>
      </c>
      <c r="L272" cm="1">
        <f t="array" ref="L272">IFERROR(SUMPRODUCT((COUNTIF($D$2:$D$648,$D$2:$D$648)&gt;COUNTIF($D$2:$D$648,D272))/COUNTIF($D$2:$D$648,$D$2:$D$648))+1,"")</f>
        <v>7.999999999999992</v>
      </c>
    </row>
    <row r="273" spans="1:12" x14ac:dyDescent="0.3">
      <c r="A273" t="s">
        <v>147</v>
      </c>
      <c r="B273" s="3">
        <v>46319</v>
      </c>
      <c r="C273" t="s">
        <v>815</v>
      </c>
      <c r="D273" t="s">
        <v>88</v>
      </c>
      <c r="E273" t="s">
        <v>20</v>
      </c>
      <c r="F273" t="s">
        <v>552</v>
      </c>
      <c r="G273" t="s">
        <v>249</v>
      </c>
      <c r="H273" t="s">
        <v>11</v>
      </c>
      <c r="I273">
        <v>5</v>
      </c>
      <c r="J273" t="s">
        <v>24</v>
      </c>
      <c r="K273">
        <f t="shared" si="4"/>
        <v>12</v>
      </c>
      <c r="L273" cm="1">
        <f t="array" ref="L273">IFERROR(SUMPRODUCT((COUNTIF($D$2:$D$648,$D$2:$D$648)&gt;COUNTIF($D$2:$D$648,D273))/COUNTIF($D$2:$D$648,$D$2:$D$648))+1,"")</f>
        <v>10.999999999999973</v>
      </c>
    </row>
    <row r="274" spans="1:12" x14ac:dyDescent="0.3">
      <c r="A274" t="s">
        <v>147</v>
      </c>
      <c r="B274" s="3">
        <v>46319</v>
      </c>
      <c r="C274" t="s">
        <v>815</v>
      </c>
      <c r="D274" t="s">
        <v>138</v>
      </c>
      <c r="E274" t="s">
        <v>23</v>
      </c>
      <c r="F274" t="s">
        <v>553</v>
      </c>
      <c r="G274" t="s">
        <v>270</v>
      </c>
      <c r="H274" t="s">
        <v>11</v>
      </c>
      <c r="I274">
        <v>5</v>
      </c>
      <c r="J274" t="s">
        <v>65</v>
      </c>
      <c r="K274">
        <f t="shared" si="4"/>
        <v>5</v>
      </c>
      <c r="L274" cm="1">
        <f t="array" ref="L274">IFERROR(SUMPRODUCT((COUNTIF($D$2:$D$648,$D$2:$D$648)&gt;COUNTIF($D$2:$D$648,D274))/COUNTIF($D$2:$D$648,$D$2:$D$648))+1,"")</f>
        <v>43.000000000000199</v>
      </c>
    </row>
    <row r="275" spans="1:12" x14ac:dyDescent="0.3">
      <c r="A275" t="s">
        <v>147</v>
      </c>
      <c r="B275" s="3">
        <v>46322</v>
      </c>
      <c r="C275" t="s">
        <v>816</v>
      </c>
      <c r="D275" t="s">
        <v>83</v>
      </c>
      <c r="E275" t="s">
        <v>20</v>
      </c>
      <c r="F275" t="s">
        <v>554</v>
      </c>
      <c r="G275" t="s">
        <v>247</v>
      </c>
      <c r="H275" t="s">
        <v>27</v>
      </c>
      <c r="I275">
        <v>5</v>
      </c>
      <c r="J275" t="s">
        <v>21</v>
      </c>
      <c r="K275">
        <f t="shared" si="4"/>
        <v>19</v>
      </c>
      <c r="L275" cm="1">
        <f t="array" ref="L275">IFERROR(SUMPRODUCT((COUNTIF($D$2:$D$648,$D$2:$D$648)&gt;COUNTIF($D$2:$D$648,D275))/COUNTIF($D$2:$D$648,$D$2:$D$648))+1,"")</f>
        <v>4</v>
      </c>
    </row>
    <row r="276" spans="1:12" x14ac:dyDescent="0.3">
      <c r="A276" t="s">
        <v>147</v>
      </c>
      <c r="B276" s="3">
        <v>46322</v>
      </c>
      <c r="C276" t="s">
        <v>816</v>
      </c>
      <c r="D276" t="s">
        <v>13</v>
      </c>
      <c r="E276" t="s">
        <v>20</v>
      </c>
      <c r="G276" t="s">
        <v>218</v>
      </c>
      <c r="H276" t="s">
        <v>11</v>
      </c>
      <c r="I276">
        <v>7</v>
      </c>
      <c r="J276" t="s">
        <v>15</v>
      </c>
      <c r="K276">
        <f t="shared" si="4"/>
        <v>47</v>
      </c>
      <c r="L276" cm="1">
        <f t="array" ref="L276">IFERROR(SUMPRODUCT((COUNTIF($D$2:$D$648,$D$2:$D$648)&gt;COUNTIF($D$2:$D$648,D276))/COUNTIF($D$2:$D$648,$D$2:$D$648))+1,"")</f>
        <v>1</v>
      </c>
    </row>
    <row r="277" spans="1:12" x14ac:dyDescent="0.3">
      <c r="A277" t="s">
        <v>147</v>
      </c>
      <c r="B277" s="3">
        <v>46322</v>
      </c>
      <c r="C277" t="s">
        <v>816</v>
      </c>
      <c r="D277" t="s">
        <v>117</v>
      </c>
      <c r="E277" t="s">
        <v>17</v>
      </c>
      <c r="F277" t="s">
        <v>555</v>
      </c>
      <c r="G277" t="s">
        <v>264</v>
      </c>
      <c r="H277" t="s">
        <v>11</v>
      </c>
      <c r="I277">
        <v>5</v>
      </c>
      <c r="J277" t="s">
        <v>44</v>
      </c>
      <c r="K277">
        <f t="shared" si="4"/>
        <v>8</v>
      </c>
      <c r="L277" cm="1">
        <f t="array" ref="L277">IFERROR(SUMPRODUCT((COUNTIF($D$2:$D$648,$D$2:$D$648)&gt;COUNTIF($D$2:$D$648,D277))/COUNTIF($D$2:$D$648,$D$2:$D$648))+1,"")</f>
        <v>24.999999999999957</v>
      </c>
    </row>
    <row r="278" spans="1:12" x14ac:dyDescent="0.3">
      <c r="A278" t="s">
        <v>147</v>
      </c>
      <c r="B278" s="3">
        <v>46322</v>
      </c>
      <c r="C278" t="s">
        <v>816</v>
      </c>
      <c r="D278" t="s">
        <v>69</v>
      </c>
      <c r="E278" t="s">
        <v>23</v>
      </c>
      <c r="F278" t="s">
        <v>556</v>
      </c>
      <c r="G278" t="s">
        <v>238</v>
      </c>
      <c r="H278" t="s">
        <v>11</v>
      </c>
      <c r="I278">
        <v>5</v>
      </c>
      <c r="J278" t="s">
        <v>12</v>
      </c>
      <c r="K278">
        <f t="shared" si="4"/>
        <v>17</v>
      </c>
      <c r="L278" cm="1">
        <f t="array" ref="L278">IFERROR(SUMPRODUCT((COUNTIF($D$2:$D$648,$D$2:$D$648)&gt;COUNTIF($D$2:$D$648,D278))/COUNTIF($D$2:$D$648,$D$2:$D$648))+1,"")</f>
        <v>5.9999999999999982</v>
      </c>
    </row>
    <row r="279" spans="1:12" x14ac:dyDescent="0.3">
      <c r="A279" t="s">
        <v>147</v>
      </c>
      <c r="B279" s="3">
        <v>46323</v>
      </c>
      <c r="C279" t="s">
        <v>812</v>
      </c>
      <c r="D279" t="s">
        <v>91</v>
      </c>
      <c r="E279" t="s">
        <v>17</v>
      </c>
      <c r="F279" t="s">
        <v>557</v>
      </c>
      <c r="G279" t="s">
        <v>251</v>
      </c>
      <c r="H279" t="s">
        <v>11</v>
      </c>
      <c r="I279">
        <v>5</v>
      </c>
      <c r="J279" t="s">
        <v>51</v>
      </c>
      <c r="K279">
        <f t="shared" si="4"/>
        <v>5</v>
      </c>
      <c r="L279" cm="1">
        <f t="array" ref="L279">IFERROR(SUMPRODUCT((COUNTIF($D$2:$D$648,$D$2:$D$648)&gt;COUNTIF($D$2:$D$648,D279))/COUNTIF($D$2:$D$648,$D$2:$D$648))+1,"")</f>
        <v>43.000000000000199</v>
      </c>
    </row>
    <row r="280" spans="1:12" x14ac:dyDescent="0.3">
      <c r="A280" t="s">
        <v>147</v>
      </c>
      <c r="B280" s="3">
        <v>46323</v>
      </c>
      <c r="C280" t="s">
        <v>812</v>
      </c>
      <c r="D280" t="s">
        <v>160</v>
      </c>
      <c r="E280" t="s">
        <v>67</v>
      </c>
      <c r="F280" t="s">
        <v>558</v>
      </c>
      <c r="G280" t="s">
        <v>266</v>
      </c>
      <c r="H280" t="s">
        <v>11</v>
      </c>
      <c r="I280">
        <v>5</v>
      </c>
      <c r="J280" t="s">
        <v>75</v>
      </c>
      <c r="K280">
        <f t="shared" si="4"/>
        <v>1</v>
      </c>
      <c r="L280" cm="1">
        <f t="array" ref="L280">IFERROR(SUMPRODUCT((COUNTIF($D$2:$D$648,$D$2:$D$648)&gt;COUNTIF($D$2:$D$648,D280))/COUNTIF($D$2:$D$648,$D$2:$D$648))+1,"")</f>
        <v>80.000000000000426</v>
      </c>
    </row>
    <row r="281" spans="1:12" x14ac:dyDescent="0.3">
      <c r="A281" t="s">
        <v>147</v>
      </c>
      <c r="B281" s="3">
        <v>46323</v>
      </c>
      <c r="C281" t="s">
        <v>812</v>
      </c>
      <c r="D281" t="s">
        <v>56</v>
      </c>
      <c r="E281" t="s">
        <v>20</v>
      </c>
      <c r="F281" t="s">
        <v>559</v>
      </c>
      <c r="G281" t="s">
        <v>232</v>
      </c>
      <c r="H281" t="s">
        <v>11</v>
      </c>
      <c r="I281">
        <v>5</v>
      </c>
      <c r="J281" t="s">
        <v>12</v>
      </c>
      <c r="K281">
        <f t="shared" si="4"/>
        <v>6</v>
      </c>
      <c r="L281" cm="1">
        <f t="array" ref="L281">IFERROR(SUMPRODUCT((COUNTIF($D$2:$D$648,$D$2:$D$648)&gt;COUNTIF($D$2:$D$648,D281))/COUNTIF($D$2:$D$648,$D$2:$D$648))+1,"")</f>
        <v>39.000000000000114</v>
      </c>
    </row>
    <row r="282" spans="1:12" x14ac:dyDescent="0.3">
      <c r="A282" t="s">
        <v>147</v>
      </c>
      <c r="B282" s="3">
        <v>46323</v>
      </c>
      <c r="C282" t="s">
        <v>812</v>
      </c>
      <c r="D282" t="s">
        <v>73</v>
      </c>
      <c r="E282" t="s">
        <v>14</v>
      </c>
      <c r="F282" t="s">
        <v>560</v>
      </c>
      <c r="G282" t="s">
        <v>234</v>
      </c>
      <c r="H282" t="s">
        <v>11</v>
      </c>
      <c r="I282">
        <v>5</v>
      </c>
      <c r="J282" t="s">
        <v>49</v>
      </c>
      <c r="K282">
        <f t="shared" si="4"/>
        <v>11</v>
      </c>
      <c r="L282" cm="1">
        <f t="array" ref="L282">IFERROR(SUMPRODUCT((COUNTIF($D$2:$D$648,$D$2:$D$648)&gt;COUNTIF($D$2:$D$648,D282))/COUNTIF($D$2:$D$648,$D$2:$D$648))+1,"")</f>
        <v>11.999999999999961</v>
      </c>
    </row>
    <row r="283" spans="1:12" x14ac:dyDescent="0.3">
      <c r="A283" t="s">
        <v>147</v>
      </c>
      <c r="B283" s="3">
        <v>46324</v>
      </c>
      <c r="C283" t="s">
        <v>814</v>
      </c>
      <c r="D283" t="s">
        <v>13</v>
      </c>
      <c r="E283" t="s">
        <v>84</v>
      </c>
      <c r="G283" t="s">
        <v>218</v>
      </c>
      <c r="H283" t="s">
        <v>11</v>
      </c>
      <c r="I283">
        <v>4</v>
      </c>
      <c r="J283" t="s">
        <v>30</v>
      </c>
      <c r="K283">
        <f t="shared" si="4"/>
        <v>47</v>
      </c>
      <c r="L283" cm="1">
        <f t="array" ref="L283">IFERROR(SUMPRODUCT((COUNTIF($D$2:$D$648,$D$2:$D$648)&gt;COUNTIF($D$2:$D$648,D283))/COUNTIF($D$2:$D$648,$D$2:$D$648))+1,"")</f>
        <v>1</v>
      </c>
    </row>
    <row r="284" spans="1:12" x14ac:dyDescent="0.3">
      <c r="A284" t="s">
        <v>147</v>
      </c>
      <c r="B284" s="3">
        <v>46324</v>
      </c>
      <c r="C284" t="s">
        <v>814</v>
      </c>
      <c r="D284" t="s">
        <v>100</v>
      </c>
      <c r="E284" t="s">
        <v>84</v>
      </c>
      <c r="F284" t="s">
        <v>561</v>
      </c>
      <c r="G284" t="s">
        <v>223</v>
      </c>
      <c r="H284" t="s">
        <v>11</v>
      </c>
      <c r="I284">
        <v>4</v>
      </c>
      <c r="J284" t="s">
        <v>30</v>
      </c>
      <c r="K284">
        <f t="shared" si="4"/>
        <v>3</v>
      </c>
      <c r="L284" cm="1">
        <f t="array" ref="L284">IFERROR(SUMPRODUCT((COUNTIF($D$2:$D$648,$D$2:$D$648)&gt;COUNTIF($D$2:$D$648,D284))/COUNTIF($D$2:$D$648,$D$2:$D$648))+1,"")</f>
        <v>58.000000000000348</v>
      </c>
    </row>
    <row r="285" spans="1:12" x14ac:dyDescent="0.3">
      <c r="A285" t="s">
        <v>147</v>
      </c>
      <c r="B285" s="3">
        <v>46324</v>
      </c>
      <c r="C285" t="s">
        <v>814</v>
      </c>
      <c r="D285" t="s">
        <v>139</v>
      </c>
      <c r="E285" t="s">
        <v>67</v>
      </c>
      <c r="F285" t="s">
        <v>562</v>
      </c>
      <c r="G285" t="s">
        <v>271</v>
      </c>
      <c r="H285" t="s">
        <v>11</v>
      </c>
      <c r="I285">
        <v>4</v>
      </c>
      <c r="J285" t="s">
        <v>30</v>
      </c>
      <c r="K285">
        <f t="shared" si="4"/>
        <v>5</v>
      </c>
      <c r="L285" cm="1">
        <f t="array" ref="L285">IFERROR(SUMPRODUCT((COUNTIF($D$2:$D$648,$D$2:$D$648)&gt;COUNTIF($D$2:$D$648,D285))/COUNTIF($D$2:$D$648,$D$2:$D$648))+1,"")</f>
        <v>43.000000000000199</v>
      </c>
    </row>
    <row r="286" spans="1:12" x14ac:dyDescent="0.3">
      <c r="A286" t="s">
        <v>147</v>
      </c>
      <c r="B286" s="3">
        <v>46324</v>
      </c>
      <c r="C286" t="s">
        <v>814</v>
      </c>
      <c r="D286" t="s">
        <v>137</v>
      </c>
      <c r="E286" t="s">
        <v>23</v>
      </c>
      <c r="F286" t="s">
        <v>563</v>
      </c>
      <c r="G286" t="s">
        <v>258</v>
      </c>
      <c r="H286" t="s">
        <v>11</v>
      </c>
      <c r="I286">
        <v>4</v>
      </c>
      <c r="J286" t="s">
        <v>30</v>
      </c>
      <c r="K286">
        <f t="shared" si="4"/>
        <v>2</v>
      </c>
      <c r="L286" cm="1">
        <f t="array" ref="L286">IFERROR(SUMPRODUCT((COUNTIF($D$2:$D$648,$D$2:$D$648)&gt;COUNTIF($D$2:$D$648,D286))/COUNTIF($D$2:$D$648,$D$2:$D$648))+1,"")</f>
        <v>65.000000000000426</v>
      </c>
    </row>
    <row r="287" spans="1:12" x14ac:dyDescent="0.3">
      <c r="A287" t="s">
        <v>147</v>
      </c>
      <c r="B287" s="3">
        <v>46324</v>
      </c>
      <c r="C287" t="s">
        <v>814</v>
      </c>
      <c r="D287" t="s">
        <v>77</v>
      </c>
      <c r="E287" t="s">
        <v>17</v>
      </c>
      <c r="F287" t="s">
        <v>564</v>
      </c>
      <c r="G287" t="s">
        <v>246</v>
      </c>
      <c r="H287" t="s">
        <v>11</v>
      </c>
      <c r="I287">
        <v>4</v>
      </c>
      <c r="J287" t="s">
        <v>30</v>
      </c>
      <c r="K287">
        <f t="shared" si="4"/>
        <v>7</v>
      </c>
      <c r="L287" cm="1">
        <f t="array" ref="L287">IFERROR(SUMPRODUCT((COUNTIF($D$2:$D$648,$D$2:$D$648)&gt;COUNTIF($D$2:$D$648,D287))/COUNTIF($D$2:$D$648,$D$2:$D$648))+1,"")</f>
        <v>31.999999999999968</v>
      </c>
    </row>
    <row r="288" spans="1:12" x14ac:dyDescent="0.3">
      <c r="A288" t="s">
        <v>147</v>
      </c>
      <c r="B288" s="3">
        <v>46324</v>
      </c>
      <c r="C288" t="s">
        <v>814</v>
      </c>
      <c r="D288" t="s">
        <v>145</v>
      </c>
      <c r="E288" t="s">
        <v>20</v>
      </c>
      <c r="F288" t="s">
        <v>565</v>
      </c>
      <c r="G288" t="s">
        <v>274</v>
      </c>
      <c r="H288" t="s">
        <v>11</v>
      </c>
      <c r="I288">
        <v>4</v>
      </c>
      <c r="J288" t="s">
        <v>30</v>
      </c>
      <c r="K288">
        <f t="shared" si="4"/>
        <v>4</v>
      </c>
      <c r="L288" cm="1">
        <f t="array" ref="L288">IFERROR(SUMPRODUCT((COUNTIF($D$2:$D$648,$D$2:$D$648)&gt;COUNTIF($D$2:$D$648,D288))/COUNTIF($D$2:$D$648,$D$2:$D$648))+1,"")</f>
        <v>52.000000000000306</v>
      </c>
    </row>
    <row r="289" spans="1:12" x14ac:dyDescent="0.3">
      <c r="A289" t="s">
        <v>147</v>
      </c>
      <c r="B289" s="3">
        <v>46324</v>
      </c>
      <c r="C289" t="s">
        <v>814</v>
      </c>
      <c r="D289" t="s">
        <v>121</v>
      </c>
      <c r="E289" t="s">
        <v>14</v>
      </c>
      <c r="F289" t="s">
        <v>566</v>
      </c>
      <c r="G289" t="s">
        <v>265</v>
      </c>
      <c r="H289" t="s">
        <v>11</v>
      </c>
      <c r="I289">
        <v>4</v>
      </c>
      <c r="J289" t="s">
        <v>30</v>
      </c>
      <c r="K289">
        <f t="shared" si="4"/>
        <v>8</v>
      </c>
      <c r="L289" cm="1">
        <f t="array" ref="L289">IFERROR(SUMPRODUCT((COUNTIF($D$2:$D$648,$D$2:$D$648)&gt;COUNTIF($D$2:$D$648,D289))/COUNTIF($D$2:$D$648,$D$2:$D$648))+1,"")</f>
        <v>24.999999999999957</v>
      </c>
    </row>
    <row r="290" spans="1:12" x14ac:dyDescent="0.3">
      <c r="A290" t="s">
        <v>147</v>
      </c>
      <c r="B290" s="3">
        <v>46325</v>
      </c>
      <c r="C290" t="s">
        <v>817</v>
      </c>
      <c r="D290" t="s">
        <v>103</v>
      </c>
      <c r="E290" t="s">
        <v>14</v>
      </c>
      <c r="F290" t="s">
        <v>567</v>
      </c>
      <c r="G290" t="s">
        <v>225</v>
      </c>
      <c r="H290" t="s">
        <v>11</v>
      </c>
      <c r="I290">
        <v>4</v>
      </c>
      <c r="J290" t="s">
        <v>40</v>
      </c>
      <c r="K290">
        <f t="shared" si="4"/>
        <v>7</v>
      </c>
      <c r="L290" cm="1">
        <f t="array" ref="L290">IFERROR(SUMPRODUCT((COUNTIF($D$2:$D$648,$D$2:$D$648)&gt;COUNTIF($D$2:$D$648,D290))/COUNTIF($D$2:$D$648,$D$2:$D$648))+1,"")</f>
        <v>31.999999999999968</v>
      </c>
    </row>
    <row r="291" spans="1:12" x14ac:dyDescent="0.3">
      <c r="A291" t="s">
        <v>147</v>
      </c>
      <c r="B291" s="3">
        <v>46325</v>
      </c>
      <c r="C291" t="s">
        <v>817</v>
      </c>
      <c r="D291" t="s">
        <v>149</v>
      </c>
      <c r="E291" t="s">
        <v>67</v>
      </c>
      <c r="F291" t="s">
        <v>568</v>
      </c>
      <c r="G291" t="s">
        <v>278</v>
      </c>
      <c r="H291" t="s">
        <v>11</v>
      </c>
      <c r="I291">
        <v>3</v>
      </c>
      <c r="J291" t="s">
        <v>59</v>
      </c>
      <c r="K291">
        <f t="shared" si="4"/>
        <v>6</v>
      </c>
      <c r="L291" cm="1">
        <f t="array" ref="L291">IFERROR(SUMPRODUCT((COUNTIF($D$2:$D$648,$D$2:$D$648)&gt;COUNTIF($D$2:$D$648,D291))/COUNTIF($D$2:$D$648,$D$2:$D$648))+1,"")</f>
        <v>39.000000000000114</v>
      </c>
    </row>
    <row r="292" spans="1:12" x14ac:dyDescent="0.3">
      <c r="A292" t="s">
        <v>147</v>
      </c>
      <c r="B292" s="3">
        <v>46325</v>
      </c>
      <c r="C292" t="s">
        <v>817</v>
      </c>
      <c r="D292" t="s">
        <v>101</v>
      </c>
      <c r="E292" t="s">
        <v>17</v>
      </c>
      <c r="F292" t="s">
        <v>569</v>
      </c>
      <c r="G292" t="s">
        <v>224</v>
      </c>
      <c r="H292" t="s">
        <v>11</v>
      </c>
      <c r="I292">
        <v>3</v>
      </c>
      <c r="J292" t="s">
        <v>59</v>
      </c>
      <c r="K292">
        <f t="shared" si="4"/>
        <v>5</v>
      </c>
      <c r="L292" cm="1">
        <f t="array" ref="L292">IFERROR(SUMPRODUCT((COUNTIF($D$2:$D$648,$D$2:$D$648)&gt;COUNTIF($D$2:$D$648,D292))/COUNTIF($D$2:$D$648,$D$2:$D$648))+1,"")</f>
        <v>43.000000000000199</v>
      </c>
    </row>
    <row r="293" spans="1:12" x14ac:dyDescent="0.3">
      <c r="A293" t="s">
        <v>147</v>
      </c>
      <c r="B293" s="3">
        <v>46325</v>
      </c>
      <c r="C293" t="s">
        <v>817</v>
      </c>
      <c r="D293" t="s">
        <v>161</v>
      </c>
      <c r="E293" t="s">
        <v>20</v>
      </c>
      <c r="F293" t="s">
        <v>570</v>
      </c>
      <c r="G293" t="s">
        <v>255</v>
      </c>
      <c r="H293" t="s">
        <v>11</v>
      </c>
      <c r="I293">
        <v>3</v>
      </c>
      <c r="J293" t="s">
        <v>59</v>
      </c>
      <c r="K293">
        <f t="shared" si="4"/>
        <v>1</v>
      </c>
      <c r="L293" cm="1">
        <f t="array" ref="L293">IFERROR(SUMPRODUCT((COUNTIF($D$2:$D$648,$D$2:$D$648)&gt;COUNTIF($D$2:$D$648,D293))/COUNTIF($D$2:$D$648,$D$2:$D$648))+1,"")</f>
        <v>80.000000000000426</v>
      </c>
    </row>
    <row r="294" spans="1:12" x14ac:dyDescent="0.3">
      <c r="A294" t="s">
        <v>147</v>
      </c>
      <c r="B294" s="3">
        <v>46325</v>
      </c>
      <c r="C294" t="s">
        <v>817</v>
      </c>
      <c r="D294" t="s">
        <v>162</v>
      </c>
      <c r="E294" t="s">
        <v>23</v>
      </c>
      <c r="F294" t="s">
        <v>571</v>
      </c>
      <c r="G294" t="s">
        <v>242</v>
      </c>
      <c r="H294" t="s">
        <v>11</v>
      </c>
      <c r="I294">
        <v>3</v>
      </c>
      <c r="J294" t="s">
        <v>59</v>
      </c>
      <c r="K294">
        <f t="shared" si="4"/>
        <v>1</v>
      </c>
      <c r="L294" cm="1">
        <f t="array" ref="L294">IFERROR(SUMPRODUCT((COUNTIF($D$2:$D$648,$D$2:$D$648)&gt;COUNTIF($D$2:$D$648,D294))/COUNTIF($D$2:$D$648,$D$2:$D$648))+1,"")</f>
        <v>80.000000000000426</v>
      </c>
    </row>
    <row r="295" spans="1:12" x14ac:dyDescent="0.3">
      <c r="A295" t="s">
        <v>147</v>
      </c>
      <c r="B295" s="3">
        <v>46325</v>
      </c>
      <c r="C295" t="s">
        <v>817</v>
      </c>
      <c r="D295" t="s">
        <v>163</v>
      </c>
      <c r="E295" t="s">
        <v>84</v>
      </c>
      <c r="G295" t="s">
        <v>280</v>
      </c>
      <c r="H295" t="s">
        <v>11</v>
      </c>
      <c r="I295">
        <v>4</v>
      </c>
      <c r="J295" t="s">
        <v>40</v>
      </c>
      <c r="K295">
        <f t="shared" si="4"/>
        <v>1</v>
      </c>
      <c r="L295" cm="1">
        <f t="array" ref="L295">IFERROR(SUMPRODUCT((COUNTIF($D$2:$D$648,$D$2:$D$648)&gt;COUNTIF($D$2:$D$648,D295))/COUNTIF($D$2:$D$648,$D$2:$D$648))+1,"")</f>
        <v>80.000000000000426</v>
      </c>
    </row>
    <row r="296" spans="1:12" x14ac:dyDescent="0.3">
      <c r="A296" t="s">
        <v>164</v>
      </c>
      <c r="B296" s="3">
        <v>46329</v>
      </c>
      <c r="C296" t="s">
        <v>816</v>
      </c>
      <c r="D296" t="s">
        <v>81</v>
      </c>
      <c r="E296" t="s">
        <v>14</v>
      </c>
      <c r="F296" t="s">
        <v>572</v>
      </c>
      <c r="G296" t="s">
        <v>245</v>
      </c>
      <c r="H296" t="s">
        <v>27</v>
      </c>
      <c r="I296">
        <v>5</v>
      </c>
      <c r="J296" t="s">
        <v>112</v>
      </c>
      <c r="K296">
        <f t="shared" si="4"/>
        <v>5</v>
      </c>
      <c r="L296" cm="1">
        <f t="array" ref="L296">IFERROR(SUMPRODUCT((COUNTIF($D$2:$D$648,$D$2:$D$648)&gt;COUNTIF($D$2:$D$648,D296))/COUNTIF($D$2:$D$648,$D$2:$D$648))+1,"")</f>
        <v>43.000000000000199</v>
      </c>
    </row>
    <row r="297" spans="1:12" x14ac:dyDescent="0.3">
      <c r="A297" t="s">
        <v>164</v>
      </c>
      <c r="B297" s="3">
        <v>46329</v>
      </c>
      <c r="C297" t="s">
        <v>816</v>
      </c>
      <c r="D297" t="s">
        <v>83</v>
      </c>
      <c r="E297" t="s">
        <v>17</v>
      </c>
      <c r="F297" t="s">
        <v>573</v>
      </c>
      <c r="G297" t="s">
        <v>247</v>
      </c>
      <c r="H297" t="s">
        <v>27</v>
      </c>
      <c r="I297">
        <v>5</v>
      </c>
      <c r="J297" t="s">
        <v>21</v>
      </c>
      <c r="K297">
        <f t="shared" si="4"/>
        <v>19</v>
      </c>
      <c r="L297" cm="1">
        <f t="array" ref="L297">IFERROR(SUMPRODUCT((COUNTIF($D$2:$D$648,$D$2:$D$648)&gt;COUNTIF($D$2:$D$648,D297))/COUNTIF($D$2:$D$648,$D$2:$D$648))+1,"")</f>
        <v>4</v>
      </c>
    </row>
    <row r="298" spans="1:12" x14ac:dyDescent="0.3">
      <c r="A298" t="s">
        <v>164</v>
      </c>
      <c r="B298" s="3">
        <v>46329</v>
      </c>
      <c r="C298" t="s">
        <v>816</v>
      </c>
      <c r="D298" t="s">
        <v>165</v>
      </c>
      <c r="E298" t="s">
        <v>166</v>
      </c>
      <c r="F298" t="s">
        <v>320</v>
      </c>
      <c r="G298" t="s">
        <v>238</v>
      </c>
      <c r="H298" t="s">
        <v>11</v>
      </c>
      <c r="I298">
        <v>5</v>
      </c>
      <c r="J298" t="s">
        <v>12</v>
      </c>
      <c r="K298">
        <f t="shared" si="4"/>
        <v>1</v>
      </c>
      <c r="L298" cm="1">
        <f t="array" ref="L298">IFERROR(SUMPRODUCT((COUNTIF($D$2:$D$648,$D$2:$D$648)&gt;COUNTIF($D$2:$D$648,D298))/COUNTIF($D$2:$D$648,$D$2:$D$648))+1,"")</f>
        <v>80.000000000000426</v>
      </c>
    </row>
    <row r="299" spans="1:12" x14ac:dyDescent="0.3">
      <c r="A299" t="s">
        <v>164</v>
      </c>
      <c r="B299" s="3">
        <v>46329</v>
      </c>
      <c r="C299" t="s">
        <v>816</v>
      </c>
      <c r="D299" t="s">
        <v>167</v>
      </c>
      <c r="E299" t="s">
        <v>20</v>
      </c>
      <c r="F299" t="s">
        <v>574</v>
      </c>
      <c r="G299" t="s">
        <v>257</v>
      </c>
      <c r="H299" t="s">
        <v>11</v>
      </c>
      <c r="I299">
        <v>5</v>
      </c>
      <c r="J299" t="s">
        <v>24</v>
      </c>
      <c r="K299">
        <f t="shared" si="4"/>
        <v>1</v>
      </c>
      <c r="L299" cm="1">
        <f t="array" ref="L299">IFERROR(SUMPRODUCT((COUNTIF($D$2:$D$648,$D$2:$D$648)&gt;COUNTIF($D$2:$D$648,D299))/COUNTIF($D$2:$D$648,$D$2:$D$648))+1,"")</f>
        <v>80.000000000000426</v>
      </c>
    </row>
    <row r="300" spans="1:12" x14ac:dyDescent="0.3">
      <c r="A300" t="s">
        <v>164</v>
      </c>
      <c r="B300" s="3">
        <v>46329</v>
      </c>
      <c r="C300" t="s">
        <v>816</v>
      </c>
      <c r="D300" t="s">
        <v>97</v>
      </c>
      <c r="E300" t="s">
        <v>67</v>
      </c>
      <c r="F300" t="s">
        <v>575</v>
      </c>
      <c r="G300" t="s">
        <v>256</v>
      </c>
      <c r="H300" t="s">
        <v>11</v>
      </c>
      <c r="I300">
        <v>5</v>
      </c>
      <c r="J300" t="s">
        <v>90</v>
      </c>
      <c r="K300">
        <f t="shared" si="4"/>
        <v>13</v>
      </c>
      <c r="L300" cm="1">
        <f t="array" ref="L300">IFERROR(SUMPRODUCT((COUNTIF($D$2:$D$648,$D$2:$D$648)&gt;COUNTIF($D$2:$D$648,D300))/COUNTIF($D$2:$D$648,$D$2:$D$648))+1,"")</f>
        <v>7.999999999999992</v>
      </c>
    </row>
    <row r="301" spans="1:12" x14ac:dyDescent="0.3">
      <c r="A301" t="s">
        <v>164</v>
      </c>
      <c r="B301" s="3">
        <v>46329</v>
      </c>
      <c r="C301" t="s">
        <v>816</v>
      </c>
      <c r="D301" t="s">
        <v>105</v>
      </c>
      <c r="E301" t="s">
        <v>114</v>
      </c>
      <c r="F301" t="s">
        <v>321</v>
      </c>
      <c r="G301" t="s">
        <v>259</v>
      </c>
      <c r="H301" t="s">
        <v>11</v>
      </c>
      <c r="I301">
        <v>5</v>
      </c>
      <c r="J301" t="s">
        <v>12</v>
      </c>
      <c r="K301">
        <f t="shared" si="4"/>
        <v>20</v>
      </c>
      <c r="L301" cm="1">
        <f t="array" ref="L301">IFERROR(SUMPRODUCT((COUNTIF($D$2:$D$648,$D$2:$D$648)&gt;COUNTIF($D$2:$D$648,D301))/COUNTIF($D$2:$D$648,$D$2:$D$648))+1,"")</f>
        <v>3.0000000000000009</v>
      </c>
    </row>
    <row r="302" spans="1:12" x14ac:dyDescent="0.3">
      <c r="A302" t="s">
        <v>164</v>
      </c>
      <c r="B302" s="3">
        <v>46329</v>
      </c>
      <c r="C302" t="s">
        <v>816</v>
      </c>
      <c r="D302" t="s">
        <v>48</v>
      </c>
      <c r="E302" t="s">
        <v>84</v>
      </c>
      <c r="F302" t="s">
        <v>576</v>
      </c>
      <c r="G302" t="s">
        <v>228</v>
      </c>
      <c r="H302" t="s">
        <v>11</v>
      </c>
      <c r="I302">
        <v>5</v>
      </c>
      <c r="J302" t="s">
        <v>49</v>
      </c>
      <c r="K302">
        <f t="shared" si="4"/>
        <v>18</v>
      </c>
      <c r="L302" cm="1">
        <f t="array" ref="L302">IFERROR(SUMPRODUCT((COUNTIF($D$2:$D$648,$D$2:$D$648)&gt;COUNTIF($D$2:$D$648,D302))/COUNTIF($D$2:$D$648,$D$2:$D$648))+1,"")</f>
        <v>5.0000000000000009</v>
      </c>
    </row>
    <row r="303" spans="1:12" x14ac:dyDescent="0.3">
      <c r="A303" t="s">
        <v>164</v>
      </c>
      <c r="B303" s="3">
        <v>46330</v>
      </c>
      <c r="C303" t="s">
        <v>812</v>
      </c>
      <c r="D303" t="s">
        <v>81</v>
      </c>
      <c r="E303" t="s">
        <v>23</v>
      </c>
      <c r="F303" t="s">
        <v>577</v>
      </c>
      <c r="G303" t="s">
        <v>245</v>
      </c>
      <c r="H303" t="s">
        <v>27</v>
      </c>
      <c r="I303">
        <v>5</v>
      </c>
      <c r="J303" t="s">
        <v>112</v>
      </c>
      <c r="K303">
        <f t="shared" si="4"/>
        <v>5</v>
      </c>
      <c r="L303" cm="1">
        <f t="array" ref="L303">IFERROR(SUMPRODUCT((COUNTIF($D$2:$D$648,$D$2:$D$648)&gt;COUNTIF($D$2:$D$648,D303))/COUNTIF($D$2:$D$648,$D$2:$D$648))+1,"")</f>
        <v>43.000000000000199</v>
      </c>
    </row>
    <row r="304" spans="1:12" x14ac:dyDescent="0.3">
      <c r="A304" t="s">
        <v>164</v>
      </c>
      <c r="B304" s="3">
        <v>46330</v>
      </c>
      <c r="C304" t="s">
        <v>812</v>
      </c>
      <c r="D304" t="s">
        <v>83</v>
      </c>
      <c r="E304" t="s">
        <v>67</v>
      </c>
      <c r="F304" t="s">
        <v>578</v>
      </c>
      <c r="G304" t="s">
        <v>247</v>
      </c>
      <c r="H304" t="s">
        <v>27</v>
      </c>
      <c r="I304">
        <v>5</v>
      </c>
      <c r="J304" t="s">
        <v>21</v>
      </c>
      <c r="K304">
        <f t="shared" si="4"/>
        <v>19</v>
      </c>
      <c r="L304" cm="1">
        <f t="array" ref="L304">IFERROR(SUMPRODUCT((COUNTIF($D$2:$D$648,$D$2:$D$648)&gt;COUNTIF($D$2:$D$648,D304))/COUNTIF($D$2:$D$648,$D$2:$D$648))+1,"")</f>
        <v>4</v>
      </c>
    </row>
    <row r="305" spans="1:12" x14ac:dyDescent="0.3">
      <c r="A305" t="s">
        <v>164</v>
      </c>
      <c r="B305" s="3">
        <v>46330</v>
      </c>
      <c r="C305" t="s">
        <v>812</v>
      </c>
      <c r="D305" t="s">
        <v>13</v>
      </c>
      <c r="E305" t="s">
        <v>17</v>
      </c>
      <c r="F305" t="s">
        <v>579</v>
      </c>
      <c r="G305" t="s">
        <v>218</v>
      </c>
      <c r="H305" t="s">
        <v>27</v>
      </c>
      <c r="I305">
        <v>7</v>
      </c>
      <c r="J305" t="s">
        <v>15</v>
      </c>
      <c r="K305">
        <f t="shared" si="4"/>
        <v>47</v>
      </c>
      <c r="L305" cm="1">
        <f t="array" ref="L305">IFERROR(SUMPRODUCT((COUNTIF($D$2:$D$648,$D$2:$D$648)&gt;COUNTIF($D$2:$D$648,D305))/COUNTIF($D$2:$D$648,$D$2:$D$648))+1,"")</f>
        <v>1</v>
      </c>
    </row>
    <row r="306" spans="1:12" x14ac:dyDescent="0.3">
      <c r="A306" t="s">
        <v>164</v>
      </c>
      <c r="B306" s="3">
        <v>46330</v>
      </c>
      <c r="C306" t="s">
        <v>812</v>
      </c>
      <c r="D306" t="s">
        <v>105</v>
      </c>
      <c r="E306" t="s">
        <v>114</v>
      </c>
      <c r="F306" t="s">
        <v>321</v>
      </c>
      <c r="G306" t="s">
        <v>259</v>
      </c>
      <c r="H306" t="s">
        <v>27</v>
      </c>
      <c r="I306">
        <v>5</v>
      </c>
      <c r="J306" t="s">
        <v>12</v>
      </c>
      <c r="K306">
        <f t="shared" si="4"/>
        <v>20</v>
      </c>
      <c r="L306" cm="1">
        <f t="array" ref="L306">IFERROR(SUMPRODUCT((COUNTIF($D$2:$D$648,$D$2:$D$648)&gt;COUNTIF($D$2:$D$648,D306))/COUNTIF($D$2:$D$648,$D$2:$D$648))+1,"")</f>
        <v>3.0000000000000009</v>
      </c>
    </row>
    <row r="307" spans="1:12" x14ac:dyDescent="0.3">
      <c r="A307" t="s">
        <v>164</v>
      </c>
      <c r="B307" s="3">
        <v>46330</v>
      </c>
      <c r="C307" t="s">
        <v>812</v>
      </c>
      <c r="D307" t="s">
        <v>168</v>
      </c>
      <c r="E307" t="s">
        <v>14</v>
      </c>
      <c r="F307" t="s">
        <v>580</v>
      </c>
      <c r="G307" t="s">
        <v>225</v>
      </c>
      <c r="H307" t="s">
        <v>27</v>
      </c>
      <c r="I307">
        <v>7</v>
      </c>
      <c r="J307" t="s">
        <v>15</v>
      </c>
      <c r="K307">
        <f t="shared" si="4"/>
        <v>2</v>
      </c>
      <c r="L307" cm="1">
        <f t="array" ref="L307">IFERROR(SUMPRODUCT((COUNTIF($D$2:$D$648,$D$2:$D$648)&gt;COUNTIF($D$2:$D$648,D307))/COUNTIF($D$2:$D$648,$D$2:$D$648))+1,"")</f>
        <v>65.000000000000426</v>
      </c>
    </row>
    <row r="308" spans="1:12" x14ac:dyDescent="0.3">
      <c r="A308" t="s">
        <v>164</v>
      </c>
      <c r="B308" s="3">
        <v>46330</v>
      </c>
      <c r="C308" t="s">
        <v>812</v>
      </c>
      <c r="D308" t="s">
        <v>128</v>
      </c>
      <c r="E308" t="s">
        <v>14</v>
      </c>
      <c r="H308" t="s">
        <v>27</v>
      </c>
      <c r="I308">
        <v>7</v>
      </c>
      <c r="J308" t="s">
        <v>15</v>
      </c>
      <c r="K308">
        <f t="shared" si="4"/>
        <v>2</v>
      </c>
      <c r="L308" cm="1">
        <f t="array" ref="L308">IFERROR(SUMPRODUCT((COUNTIF($D$2:$D$648,$D$2:$D$648)&gt;COUNTIF($D$2:$D$648,D308))/COUNTIF($D$2:$D$648,$D$2:$D$648))+1,"")</f>
        <v>65.000000000000426</v>
      </c>
    </row>
    <row r="309" spans="1:12" x14ac:dyDescent="0.3">
      <c r="A309" t="s">
        <v>164</v>
      </c>
      <c r="B309" s="3">
        <v>46330</v>
      </c>
      <c r="C309" t="s">
        <v>812</v>
      </c>
      <c r="D309" t="s">
        <v>169</v>
      </c>
      <c r="E309" t="s">
        <v>17</v>
      </c>
      <c r="F309" t="s">
        <v>581</v>
      </c>
      <c r="G309" t="s">
        <v>252</v>
      </c>
      <c r="H309" t="s">
        <v>27</v>
      </c>
      <c r="I309">
        <v>5</v>
      </c>
      <c r="J309" t="s">
        <v>44</v>
      </c>
      <c r="K309">
        <f t="shared" si="4"/>
        <v>1</v>
      </c>
      <c r="L309" cm="1">
        <f t="array" ref="L309">IFERROR(SUMPRODUCT((COUNTIF($D$2:$D$648,$D$2:$D$648)&gt;COUNTIF($D$2:$D$648,D309))/COUNTIF($D$2:$D$648,$D$2:$D$648))+1,"")</f>
        <v>80.000000000000426</v>
      </c>
    </row>
    <row r="310" spans="1:12" x14ac:dyDescent="0.3">
      <c r="A310" t="s">
        <v>164</v>
      </c>
      <c r="B310" s="3">
        <v>46330</v>
      </c>
      <c r="C310" t="s">
        <v>812</v>
      </c>
      <c r="D310" t="s">
        <v>48</v>
      </c>
      <c r="E310" t="s">
        <v>20</v>
      </c>
      <c r="F310" t="s">
        <v>582</v>
      </c>
      <c r="G310" t="s">
        <v>228</v>
      </c>
      <c r="H310" t="s">
        <v>27</v>
      </c>
      <c r="I310">
        <v>5</v>
      </c>
      <c r="J310" t="s">
        <v>49</v>
      </c>
      <c r="K310">
        <f t="shared" si="4"/>
        <v>18</v>
      </c>
      <c r="L310" cm="1">
        <f t="array" ref="L310">IFERROR(SUMPRODUCT((COUNTIF($D$2:$D$648,$D$2:$D$648)&gt;COUNTIF($D$2:$D$648,D310))/COUNTIF($D$2:$D$648,$D$2:$D$648))+1,"")</f>
        <v>5.0000000000000009</v>
      </c>
    </row>
    <row r="311" spans="1:12" x14ac:dyDescent="0.3">
      <c r="A311" t="s">
        <v>164</v>
      </c>
      <c r="B311" s="3">
        <v>46331</v>
      </c>
      <c r="C311" t="s">
        <v>814</v>
      </c>
      <c r="D311" t="s">
        <v>13</v>
      </c>
      <c r="E311" t="s">
        <v>67</v>
      </c>
      <c r="F311" t="s">
        <v>583</v>
      </c>
      <c r="G311" t="s">
        <v>218</v>
      </c>
      <c r="H311" t="s">
        <v>11</v>
      </c>
      <c r="I311">
        <v>4</v>
      </c>
      <c r="J311" t="s">
        <v>30</v>
      </c>
      <c r="K311">
        <f t="shared" si="4"/>
        <v>47</v>
      </c>
      <c r="L311" cm="1">
        <f t="array" ref="L311">IFERROR(SUMPRODUCT((COUNTIF($D$2:$D$648,$D$2:$D$648)&gt;COUNTIF($D$2:$D$648,D311))/COUNTIF($D$2:$D$648,$D$2:$D$648))+1,"")</f>
        <v>1</v>
      </c>
    </row>
    <row r="312" spans="1:12" x14ac:dyDescent="0.3">
      <c r="A312" t="s">
        <v>164</v>
      </c>
      <c r="B312" s="3">
        <v>46331</v>
      </c>
      <c r="C312" t="s">
        <v>814</v>
      </c>
      <c r="D312" t="s">
        <v>105</v>
      </c>
      <c r="E312" t="s">
        <v>114</v>
      </c>
      <c r="F312" t="s">
        <v>322</v>
      </c>
      <c r="G312" t="s">
        <v>259</v>
      </c>
      <c r="H312" t="s">
        <v>11</v>
      </c>
      <c r="I312">
        <v>3</v>
      </c>
      <c r="J312" t="s">
        <v>29</v>
      </c>
      <c r="K312">
        <f t="shared" si="4"/>
        <v>20</v>
      </c>
      <c r="L312" cm="1">
        <f t="array" ref="L312">IFERROR(SUMPRODUCT((COUNTIF($D$2:$D$648,$D$2:$D$648)&gt;COUNTIF($D$2:$D$648,D312))/COUNTIF($D$2:$D$648,$D$2:$D$648))+1,"")</f>
        <v>3.0000000000000009</v>
      </c>
    </row>
    <row r="313" spans="1:12" x14ac:dyDescent="0.3">
      <c r="A313" t="s">
        <v>164</v>
      </c>
      <c r="B313" s="3">
        <v>46331</v>
      </c>
      <c r="C313" t="s">
        <v>814</v>
      </c>
      <c r="D313" t="s">
        <v>76</v>
      </c>
      <c r="E313" t="s">
        <v>14</v>
      </c>
      <c r="F313" t="s">
        <v>584</v>
      </c>
      <c r="G313" t="s">
        <v>229</v>
      </c>
      <c r="H313" t="s">
        <v>11</v>
      </c>
      <c r="I313">
        <v>3</v>
      </c>
      <c r="J313" t="s">
        <v>54</v>
      </c>
      <c r="K313">
        <f t="shared" si="4"/>
        <v>11</v>
      </c>
      <c r="L313" cm="1">
        <f t="array" ref="L313">IFERROR(SUMPRODUCT((COUNTIF($D$2:$D$648,$D$2:$D$648)&gt;COUNTIF($D$2:$D$648,D313))/COUNTIF($D$2:$D$648,$D$2:$D$648))+1,"")</f>
        <v>11.999999999999961</v>
      </c>
    </row>
    <row r="314" spans="1:12" x14ac:dyDescent="0.3">
      <c r="A314" t="s">
        <v>164</v>
      </c>
      <c r="B314" s="3">
        <v>46331</v>
      </c>
      <c r="C314" t="s">
        <v>814</v>
      </c>
      <c r="D314" t="s">
        <v>69</v>
      </c>
      <c r="E314" t="s">
        <v>20</v>
      </c>
      <c r="F314" t="s">
        <v>585</v>
      </c>
      <c r="G314" t="s">
        <v>238</v>
      </c>
      <c r="H314" t="s">
        <v>11</v>
      </c>
      <c r="I314">
        <v>3</v>
      </c>
      <c r="J314" t="s">
        <v>29</v>
      </c>
      <c r="K314">
        <f t="shared" si="4"/>
        <v>17</v>
      </c>
      <c r="L314" cm="1">
        <f t="array" ref="L314">IFERROR(SUMPRODUCT((COUNTIF($D$2:$D$648,$D$2:$D$648)&gt;COUNTIF($D$2:$D$648,D314))/COUNTIF($D$2:$D$648,$D$2:$D$648))+1,"")</f>
        <v>5.9999999999999982</v>
      </c>
    </row>
    <row r="315" spans="1:12" x14ac:dyDescent="0.3">
      <c r="A315" t="s">
        <v>164</v>
      </c>
      <c r="B315" s="3">
        <v>46331</v>
      </c>
      <c r="C315" t="s">
        <v>814</v>
      </c>
      <c r="D315" t="s">
        <v>96</v>
      </c>
      <c r="E315" t="s">
        <v>23</v>
      </c>
      <c r="G315" t="s">
        <v>255</v>
      </c>
      <c r="H315" t="s">
        <v>11</v>
      </c>
      <c r="I315">
        <v>4</v>
      </c>
      <c r="J315" t="s">
        <v>30</v>
      </c>
      <c r="K315">
        <f t="shared" si="4"/>
        <v>8</v>
      </c>
      <c r="L315" cm="1">
        <f t="array" ref="L315">IFERROR(SUMPRODUCT((COUNTIF($D$2:$D$648,$D$2:$D$648)&gt;COUNTIF($D$2:$D$648,D315))/COUNTIF($D$2:$D$648,$D$2:$D$648))+1,"")</f>
        <v>24.999999999999957</v>
      </c>
    </row>
    <row r="316" spans="1:12" x14ac:dyDescent="0.3">
      <c r="A316" t="s">
        <v>164</v>
      </c>
      <c r="B316" s="3">
        <v>46331</v>
      </c>
      <c r="C316" t="s">
        <v>814</v>
      </c>
      <c r="D316" t="s">
        <v>83</v>
      </c>
      <c r="E316" t="s">
        <v>67</v>
      </c>
      <c r="G316" t="s">
        <v>247</v>
      </c>
      <c r="H316" t="s">
        <v>11</v>
      </c>
      <c r="I316">
        <v>4</v>
      </c>
      <c r="J316" t="s">
        <v>30</v>
      </c>
      <c r="K316">
        <f t="shared" si="4"/>
        <v>19</v>
      </c>
      <c r="L316" cm="1">
        <f t="array" ref="L316">IFERROR(SUMPRODUCT((COUNTIF($D$2:$D$648,$D$2:$D$648)&gt;COUNTIF($D$2:$D$648,D316))/COUNTIF($D$2:$D$648,$D$2:$D$648))+1,"")</f>
        <v>4</v>
      </c>
    </row>
    <row r="317" spans="1:12" x14ac:dyDescent="0.3">
      <c r="A317" t="s">
        <v>164</v>
      </c>
      <c r="B317" s="3">
        <v>46331</v>
      </c>
      <c r="C317" t="s">
        <v>814</v>
      </c>
      <c r="D317" t="s">
        <v>170</v>
      </c>
      <c r="E317" t="s">
        <v>23</v>
      </c>
      <c r="G317" t="s">
        <v>281</v>
      </c>
      <c r="H317" t="s">
        <v>11</v>
      </c>
      <c r="I317">
        <v>4</v>
      </c>
      <c r="J317" t="s">
        <v>30</v>
      </c>
      <c r="K317">
        <f t="shared" si="4"/>
        <v>3</v>
      </c>
      <c r="L317" cm="1">
        <f t="array" ref="L317">IFERROR(SUMPRODUCT((COUNTIF($D$2:$D$648,$D$2:$D$648)&gt;COUNTIF($D$2:$D$648,D317))/COUNTIF($D$2:$D$648,$D$2:$D$648))+1,"")</f>
        <v>58.000000000000348</v>
      </c>
    </row>
    <row r="318" spans="1:12" x14ac:dyDescent="0.3">
      <c r="A318" t="s">
        <v>164</v>
      </c>
      <c r="B318" s="3">
        <v>46332</v>
      </c>
      <c r="C318" t="s">
        <v>817</v>
      </c>
      <c r="D318" t="s">
        <v>171</v>
      </c>
      <c r="E318" t="s">
        <v>23</v>
      </c>
      <c r="F318" t="s">
        <v>586</v>
      </c>
      <c r="G318" t="s">
        <v>261</v>
      </c>
      <c r="H318" t="s">
        <v>11</v>
      </c>
      <c r="I318">
        <v>3</v>
      </c>
      <c r="J318" t="s">
        <v>35</v>
      </c>
      <c r="K318">
        <f t="shared" si="4"/>
        <v>1</v>
      </c>
      <c r="L318" cm="1">
        <f t="array" ref="L318">IFERROR(SUMPRODUCT((COUNTIF($D$2:$D$648,$D$2:$D$648)&gt;COUNTIF($D$2:$D$648,D318))/COUNTIF($D$2:$D$648,$D$2:$D$648))+1,"")</f>
        <v>80.000000000000426</v>
      </c>
    </row>
    <row r="319" spans="1:12" x14ac:dyDescent="0.3">
      <c r="A319" t="s">
        <v>164</v>
      </c>
      <c r="B319" s="3">
        <v>46332</v>
      </c>
      <c r="C319" t="s">
        <v>817</v>
      </c>
      <c r="D319" t="s">
        <v>172</v>
      </c>
      <c r="E319" t="s">
        <v>23</v>
      </c>
      <c r="G319" t="s">
        <v>239</v>
      </c>
      <c r="H319" t="s">
        <v>11</v>
      </c>
      <c r="I319">
        <v>3</v>
      </c>
      <c r="J319" t="s">
        <v>37</v>
      </c>
      <c r="K319">
        <f t="shared" si="4"/>
        <v>1</v>
      </c>
      <c r="L319" cm="1">
        <f t="array" ref="L319">IFERROR(SUMPRODUCT((COUNTIF($D$2:$D$648,$D$2:$D$648)&gt;COUNTIF($D$2:$D$648,D319))/COUNTIF($D$2:$D$648,$D$2:$D$648))+1,"")</f>
        <v>80.000000000000426</v>
      </c>
    </row>
    <row r="320" spans="1:12" x14ac:dyDescent="0.3">
      <c r="A320" t="s">
        <v>164</v>
      </c>
      <c r="B320" s="3">
        <v>46332</v>
      </c>
      <c r="C320" t="s">
        <v>817</v>
      </c>
      <c r="D320" t="s">
        <v>105</v>
      </c>
      <c r="E320" t="s">
        <v>17</v>
      </c>
      <c r="F320" t="s">
        <v>587</v>
      </c>
      <c r="G320" t="s">
        <v>259</v>
      </c>
      <c r="H320" t="s">
        <v>11</v>
      </c>
      <c r="I320">
        <v>3</v>
      </c>
      <c r="J320" t="s">
        <v>37</v>
      </c>
      <c r="K320">
        <f t="shared" si="4"/>
        <v>20</v>
      </c>
      <c r="L320" cm="1">
        <f t="array" ref="L320">IFERROR(SUMPRODUCT((COUNTIF($D$2:$D$648,$D$2:$D$648)&gt;COUNTIF($D$2:$D$648,D320))/COUNTIF($D$2:$D$648,$D$2:$D$648))+1,"")</f>
        <v>3.0000000000000009</v>
      </c>
    </row>
    <row r="321" spans="1:12" x14ac:dyDescent="0.3">
      <c r="A321" t="s">
        <v>164</v>
      </c>
      <c r="B321" s="3">
        <v>46332</v>
      </c>
      <c r="C321" t="s">
        <v>817</v>
      </c>
      <c r="D321" t="s">
        <v>43</v>
      </c>
      <c r="E321" t="s">
        <v>67</v>
      </c>
      <c r="F321" t="s">
        <v>588</v>
      </c>
      <c r="G321" t="s">
        <v>252</v>
      </c>
      <c r="H321" t="s">
        <v>11</v>
      </c>
      <c r="I321">
        <v>3</v>
      </c>
      <c r="J321" t="s">
        <v>37</v>
      </c>
      <c r="K321">
        <f t="shared" si="4"/>
        <v>15</v>
      </c>
      <c r="L321" cm="1">
        <f t="array" ref="L321">IFERROR(SUMPRODUCT((COUNTIF($D$2:$D$648,$D$2:$D$648)&gt;COUNTIF($D$2:$D$648,D321))/COUNTIF($D$2:$D$648,$D$2:$D$648))+1,"")</f>
        <v>6.9999999999999947</v>
      </c>
    </row>
    <row r="322" spans="1:12" x14ac:dyDescent="0.3">
      <c r="A322" t="s">
        <v>164</v>
      </c>
      <c r="B322" s="3">
        <v>46332</v>
      </c>
      <c r="C322" t="s">
        <v>817</v>
      </c>
      <c r="D322" t="s">
        <v>79</v>
      </c>
      <c r="E322" t="s">
        <v>20</v>
      </c>
      <c r="G322" t="s">
        <v>222</v>
      </c>
      <c r="H322" t="s">
        <v>11</v>
      </c>
      <c r="I322">
        <v>3</v>
      </c>
      <c r="J322" t="s">
        <v>35</v>
      </c>
      <c r="K322">
        <f t="shared" ref="K322:K385" si="5">COUNTIF($D$2:$D$700,D322)</f>
        <v>8</v>
      </c>
      <c r="L322" cm="1">
        <f t="array" ref="L322">IFERROR(SUMPRODUCT((COUNTIF($D$2:$D$648,$D$2:$D$648)&gt;COUNTIF($D$2:$D$648,D322))/COUNTIF($D$2:$D$648,$D$2:$D$648))+1,"")</f>
        <v>24.999999999999957</v>
      </c>
    </row>
    <row r="323" spans="1:12" x14ac:dyDescent="0.3">
      <c r="A323" t="s">
        <v>164</v>
      </c>
      <c r="B323" s="3">
        <v>46332</v>
      </c>
      <c r="C323" t="s">
        <v>817</v>
      </c>
      <c r="D323" t="s">
        <v>173</v>
      </c>
      <c r="E323" t="s">
        <v>14</v>
      </c>
      <c r="G323" t="s">
        <v>251</v>
      </c>
      <c r="H323" t="s">
        <v>11</v>
      </c>
      <c r="I323">
        <v>3</v>
      </c>
      <c r="J323" t="s">
        <v>59</v>
      </c>
      <c r="K323">
        <f t="shared" si="5"/>
        <v>1</v>
      </c>
      <c r="L323" cm="1">
        <f t="array" ref="L323">IFERROR(SUMPRODUCT((COUNTIF($D$2:$D$648,$D$2:$D$648)&gt;COUNTIF($D$2:$D$648,D323))/COUNTIF($D$2:$D$648,$D$2:$D$648))+1,"")</f>
        <v>80.000000000000426</v>
      </c>
    </row>
    <row r="324" spans="1:12" x14ac:dyDescent="0.3">
      <c r="A324" t="s">
        <v>164</v>
      </c>
      <c r="B324" s="3">
        <v>46333</v>
      </c>
      <c r="C324" t="s">
        <v>815</v>
      </c>
      <c r="D324" t="s">
        <v>170</v>
      </c>
      <c r="E324" t="s">
        <v>17</v>
      </c>
      <c r="F324" t="s">
        <v>589</v>
      </c>
      <c r="G324" t="s">
        <v>281</v>
      </c>
      <c r="H324" t="s">
        <v>27</v>
      </c>
      <c r="I324">
        <v>5</v>
      </c>
      <c r="J324" t="s">
        <v>18</v>
      </c>
      <c r="K324">
        <f t="shared" si="5"/>
        <v>3</v>
      </c>
      <c r="L324" cm="1">
        <f t="array" ref="L324">IFERROR(SUMPRODUCT((COUNTIF($D$2:$D$648,$D$2:$D$648)&gt;COUNTIF($D$2:$D$648,D324))/COUNTIF($D$2:$D$648,$D$2:$D$648))+1,"")</f>
        <v>58.000000000000348</v>
      </c>
    </row>
    <row r="325" spans="1:12" x14ac:dyDescent="0.3">
      <c r="A325" t="s">
        <v>164</v>
      </c>
      <c r="B325" s="3">
        <v>46333</v>
      </c>
      <c r="C325" t="s">
        <v>815</v>
      </c>
      <c r="D325" t="s">
        <v>174</v>
      </c>
      <c r="E325" t="s">
        <v>23</v>
      </c>
      <c r="F325" t="s">
        <v>590</v>
      </c>
      <c r="G325" t="s">
        <v>268</v>
      </c>
      <c r="H325" t="s">
        <v>27</v>
      </c>
      <c r="I325">
        <v>5</v>
      </c>
      <c r="J325" t="s">
        <v>18</v>
      </c>
      <c r="K325">
        <f t="shared" si="5"/>
        <v>1</v>
      </c>
      <c r="L325" cm="1">
        <f t="array" ref="L325">IFERROR(SUMPRODUCT((COUNTIF($D$2:$D$648,$D$2:$D$648)&gt;COUNTIF($D$2:$D$648,D325))/COUNTIF($D$2:$D$648,$D$2:$D$648))+1,"")</f>
        <v>80.000000000000426</v>
      </c>
    </row>
    <row r="326" spans="1:12" x14ac:dyDescent="0.3">
      <c r="A326" t="s">
        <v>164</v>
      </c>
      <c r="B326" s="3">
        <v>46333</v>
      </c>
      <c r="C326" t="s">
        <v>815</v>
      </c>
      <c r="D326" t="s">
        <v>13</v>
      </c>
      <c r="E326" t="s">
        <v>23</v>
      </c>
      <c r="F326" t="s">
        <v>437</v>
      </c>
      <c r="G326" t="s">
        <v>218</v>
      </c>
      <c r="H326" t="s">
        <v>11</v>
      </c>
      <c r="I326">
        <v>7</v>
      </c>
      <c r="J326" t="s">
        <v>15</v>
      </c>
      <c r="K326">
        <f t="shared" si="5"/>
        <v>47</v>
      </c>
      <c r="L326" cm="1">
        <f t="array" ref="L326">IFERROR(SUMPRODUCT((COUNTIF($D$2:$D$648,$D$2:$D$648)&gt;COUNTIF($D$2:$D$648,D326))/COUNTIF($D$2:$D$648,$D$2:$D$648))+1,"")</f>
        <v>1</v>
      </c>
    </row>
    <row r="327" spans="1:12" x14ac:dyDescent="0.3">
      <c r="A327" t="s">
        <v>164</v>
      </c>
      <c r="B327" s="3">
        <v>46333</v>
      </c>
      <c r="C327" t="s">
        <v>815</v>
      </c>
      <c r="D327" t="s">
        <v>110</v>
      </c>
      <c r="E327" t="s">
        <v>14</v>
      </c>
      <c r="F327" t="s">
        <v>591</v>
      </c>
      <c r="G327" t="s">
        <v>262</v>
      </c>
      <c r="H327" t="s">
        <v>11</v>
      </c>
      <c r="I327">
        <v>5</v>
      </c>
      <c r="J327" t="s">
        <v>90</v>
      </c>
      <c r="K327">
        <f t="shared" si="5"/>
        <v>11</v>
      </c>
      <c r="L327" cm="1">
        <f t="array" ref="L327">IFERROR(SUMPRODUCT((COUNTIF($D$2:$D$648,$D$2:$D$648)&gt;COUNTIF($D$2:$D$648,D327))/COUNTIF($D$2:$D$648,$D$2:$D$648))+1,"")</f>
        <v>11.999999999999961</v>
      </c>
    </row>
    <row r="328" spans="1:12" x14ac:dyDescent="0.3">
      <c r="A328" t="s">
        <v>164</v>
      </c>
      <c r="B328" s="3">
        <v>46333</v>
      </c>
      <c r="C328" t="s">
        <v>815</v>
      </c>
      <c r="D328" t="s">
        <v>71</v>
      </c>
      <c r="E328" t="s">
        <v>20</v>
      </c>
      <c r="F328" t="s">
        <v>592</v>
      </c>
      <c r="G328" t="s">
        <v>240</v>
      </c>
      <c r="H328" t="s">
        <v>11</v>
      </c>
      <c r="I328">
        <v>5</v>
      </c>
      <c r="J328" t="s">
        <v>44</v>
      </c>
      <c r="K328">
        <f t="shared" si="5"/>
        <v>13</v>
      </c>
      <c r="L328" cm="1">
        <f t="array" ref="L328">IFERROR(SUMPRODUCT((COUNTIF($D$2:$D$648,$D$2:$D$648)&gt;COUNTIF($D$2:$D$648,D328))/COUNTIF($D$2:$D$648,$D$2:$D$648))+1,"")</f>
        <v>7.999999999999992</v>
      </c>
    </row>
    <row r="329" spans="1:12" x14ac:dyDescent="0.3">
      <c r="A329" t="s">
        <v>164</v>
      </c>
      <c r="B329" s="3">
        <v>46333</v>
      </c>
      <c r="C329" t="s">
        <v>815</v>
      </c>
      <c r="D329" t="s">
        <v>43</v>
      </c>
      <c r="E329" t="s">
        <v>67</v>
      </c>
      <c r="F329" t="s">
        <v>588</v>
      </c>
      <c r="G329" t="s">
        <v>252</v>
      </c>
      <c r="H329" t="s">
        <v>11</v>
      </c>
      <c r="I329">
        <v>5</v>
      </c>
      <c r="J329" t="s">
        <v>44</v>
      </c>
      <c r="K329">
        <f t="shared" si="5"/>
        <v>15</v>
      </c>
      <c r="L329" cm="1">
        <f t="array" ref="L329">IFERROR(SUMPRODUCT((COUNTIF($D$2:$D$648,$D$2:$D$648)&gt;COUNTIF($D$2:$D$648,D329))/COUNTIF($D$2:$D$648,$D$2:$D$648))+1,"")</f>
        <v>6.9999999999999947</v>
      </c>
    </row>
    <row r="330" spans="1:12" x14ac:dyDescent="0.3">
      <c r="A330" t="s">
        <v>164</v>
      </c>
      <c r="B330" s="3">
        <v>46336</v>
      </c>
      <c r="C330" t="s">
        <v>816</v>
      </c>
      <c r="D330" t="s">
        <v>16</v>
      </c>
      <c r="E330" t="s">
        <v>14</v>
      </c>
      <c r="F330" t="s">
        <v>593</v>
      </c>
      <c r="G330" t="s">
        <v>219</v>
      </c>
      <c r="H330" t="s">
        <v>27</v>
      </c>
      <c r="I330">
        <v>5</v>
      </c>
      <c r="J330" t="s">
        <v>18</v>
      </c>
      <c r="K330">
        <f t="shared" si="5"/>
        <v>10</v>
      </c>
      <c r="L330" cm="1">
        <f t="array" ref="L330">IFERROR(SUMPRODUCT((COUNTIF($D$2:$D$648,$D$2:$D$648)&gt;COUNTIF($D$2:$D$648,D330))/COUNTIF($D$2:$D$648,$D$2:$D$648))+1,"")</f>
        <v>17.999999999999975</v>
      </c>
    </row>
    <row r="331" spans="1:12" x14ac:dyDescent="0.3">
      <c r="A331" t="s">
        <v>164</v>
      </c>
      <c r="B331" s="3">
        <v>46336</v>
      </c>
      <c r="C331" t="s">
        <v>816</v>
      </c>
      <c r="D331" t="s">
        <v>133</v>
      </c>
      <c r="E331" t="s">
        <v>84</v>
      </c>
      <c r="F331" t="s">
        <v>594</v>
      </c>
      <c r="G331" t="s">
        <v>268</v>
      </c>
      <c r="H331" t="s">
        <v>27</v>
      </c>
      <c r="I331">
        <v>5</v>
      </c>
      <c r="J331" t="s">
        <v>18</v>
      </c>
      <c r="K331">
        <f t="shared" si="5"/>
        <v>6</v>
      </c>
      <c r="L331" cm="1">
        <f t="array" ref="L331">IFERROR(SUMPRODUCT((COUNTIF($D$2:$D$648,$D$2:$D$648)&gt;COUNTIF($D$2:$D$648,D331))/COUNTIF($D$2:$D$648,$D$2:$D$648))+1,"")</f>
        <v>39.000000000000114</v>
      </c>
    </row>
    <row r="332" spans="1:12" x14ac:dyDescent="0.3">
      <c r="A332" t="s">
        <v>164</v>
      </c>
      <c r="B332" s="3">
        <v>46336</v>
      </c>
      <c r="C332" t="s">
        <v>816</v>
      </c>
      <c r="D332" t="s">
        <v>13</v>
      </c>
      <c r="E332" t="s">
        <v>67</v>
      </c>
      <c r="F332" t="s">
        <v>595</v>
      </c>
      <c r="G332" t="s">
        <v>218</v>
      </c>
      <c r="H332" t="s">
        <v>11</v>
      </c>
      <c r="I332">
        <v>7</v>
      </c>
      <c r="J332" t="s">
        <v>15</v>
      </c>
      <c r="K332">
        <f t="shared" si="5"/>
        <v>47</v>
      </c>
      <c r="L332" cm="1">
        <f t="array" ref="L332">IFERROR(SUMPRODUCT((COUNTIF($D$2:$D$648,$D$2:$D$648)&gt;COUNTIF($D$2:$D$648,D332))/COUNTIF($D$2:$D$648,$D$2:$D$648))+1,"")</f>
        <v>1</v>
      </c>
    </row>
    <row r="333" spans="1:12" x14ac:dyDescent="0.3">
      <c r="A333" t="s">
        <v>164</v>
      </c>
      <c r="B333" s="3">
        <v>46336</v>
      </c>
      <c r="C333" t="s">
        <v>816</v>
      </c>
      <c r="D333" t="s">
        <v>48</v>
      </c>
      <c r="E333" t="s">
        <v>46</v>
      </c>
      <c r="F333" t="s">
        <v>323</v>
      </c>
      <c r="G333" t="s">
        <v>228</v>
      </c>
      <c r="H333" t="s">
        <v>11</v>
      </c>
      <c r="I333">
        <v>5</v>
      </c>
      <c r="J333" t="s">
        <v>49</v>
      </c>
      <c r="K333">
        <f t="shared" si="5"/>
        <v>18</v>
      </c>
      <c r="L333" cm="1">
        <f t="array" ref="L333">IFERROR(SUMPRODUCT((COUNTIF($D$2:$D$648,$D$2:$D$648)&gt;COUNTIF($D$2:$D$648,D333))/COUNTIF($D$2:$D$648,$D$2:$D$648))+1,"")</f>
        <v>5.0000000000000009</v>
      </c>
    </row>
    <row r="334" spans="1:12" x14ac:dyDescent="0.3">
      <c r="A334" t="s">
        <v>164</v>
      </c>
      <c r="B334" s="3">
        <v>46336</v>
      </c>
      <c r="C334" t="s">
        <v>816</v>
      </c>
      <c r="D334" t="s">
        <v>74</v>
      </c>
      <c r="E334" t="s">
        <v>23</v>
      </c>
      <c r="F334" t="s">
        <v>596</v>
      </c>
      <c r="G334" t="s">
        <v>241</v>
      </c>
      <c r="H334" t="s">
        <v>11</v>
      </c>
      <c r="I334">
        <v>5</v>
      </c>
      <c r="J334" t="s">
        <v>75</v>
      </c>
      <c r="K334">
        <f t="shared" si="5"/>
        <v>9</v>
      </c>
      <c r="L334" cm="1">
        <f t="array" ref="L334">IFERROR(SUMPRODUCT((COUNTIF($D$2:$D$648,$D$2:$D$648)&gt;COUNTIF($D$2:$D$648,D334))/COUNTIF($D$2:$D$648,$D$2:$D$648))+1,"")</f>
        <v>21.999999999999968</v>
      </c>
    </row>
    <row r="335" spans="1:12" x14ac:dyDescent="0.3">
      <c r="A335" t="s">
        <v>164</v>
      </c>
      <c r="B335" s="3">
        <v>46336</v>
      </c>
      <c r="C335" t="s">
        <v>816</v>
      </c>
      <c r="D335" t="s">
        <v>55</v>
      </c>
      <c r="E335" t="s">
        <v>17</v>
      </c>
      <c r="F335" t="s">
        <v>597</v>
      </c>
      <c r="G335" t="s">
        <v>231</v>
      </c>
      <c r="H335" t="s">
        <v>11</v>
      </c>
      <c r="I335">
        <v>5</v>
      </c>
      <c r="J335" t="s">
        <v>51</v>
      </c>
      <c r="K335">
        <f t="shared" si="5"/>
        <v>7</v>
      </c>
      <c r="L335" cm="1">
        <f t="array" ref="L335">IFERROR(SUMPRODUCT((COUNTIF($D$2:$D$648,$D$2:$D$648)&gt;COUNTIF($D$2:$D$648,D335))/COUNTIF($D$2:$D$648,$D$2:$D$648))+1,"")</f>
        <v>31.999999999999968</v>
      </c>
    </row>
    <row r="336" spans="1:12" x14ac:dyDescent="0.3">
      <c r="A336" t="s">
        <v>164</v>
      </c>
      <c r="B336" s="3">
        <v>46338</v>
      </c>
      <c r="C336" t="s">
        <v>814</v>
      </c>
      <c r="D336" t="s">
        <v>13</v>
      </c>
      <c r="E336" t="s">
        <v>67</v>
      </c>
      <c r="F336" t="s">
        <v>595</v>
      </c>
      <c r="G336" t="s">
        <v>218</v>
      </c>
      <c r="H336" t="s">
        <v>11</v>
      </c>
      <c r="I336">
        <v>4</v>
      </c>
      <c r="J336" t="s">
        <v>30</v>
      </c>
      <c r="K336">
        <f t="shared" si="5"/>
        <v>47</v>
      </c>
      <c r="L336" cm="1">
        <f t="array" ref="L336">IFERROR(SUMPRODUCT((COUNTIF($D$2:$D$648,$D$2:$D$648)&gt;COUNTIF($D$2:$D$648,D336))/COUNTIF($D$2:$D$648,$D$2:$D$648))+1,"")</f>
        <v>1</v>
      </c>
    </row>
    <row r="337" spans="1:12" x14ac:dyDescent="0.3">
      <c r="A337" t="s">
        <v>164</v>
      </c>
      <c r="B337" s="3">
        <v>46338</v>
      </c>
      <c r="C337" t="s">
        <v>814</v>
      </c>
      <c r="D337" t="s">
        <v>175</v>
      </c>
      <c r="E337" t="s">
        <v>176</v>
      </c>
      <c r="F337" t="s">
        <v>324</v>
      </c>
      <c r="G337" t="s">
        <v>271</v>
      </c>
      <c r="H337" t="s">
        <v>11</v>
      </c>
      <c r="I337">
        <v>4</v>
      </c>
      <c r="J337" t="s">
        <v>30</v>
      </c>
      <c r="K337">
        <f t="shared" si="5"/>
        <v>1</v>
      </c>
      <c r="L337" cm="1">
        <f t="array" ref="L337">IFERROR(SUMPRODUCT((COUNTIF($D$2:$D$648,$D$2:$D$648)&gt;COUNTIF($D$2:$D$648,D337))/COUNTIF($D$2:$D$648,$D$2:$D$648))+1,"")</f>
        <v>80.000000000000426</v>
      </c>
    </row>
    <row r="338" spans="1:12" x14ac:dyDescent="0.3">
      <c r="A338" t="s">
        <v>164</v>
      </c>
      <c r="B338" s="3">
        <v>46338</v>
      </c>
      <c r="C338" t="s">
        <v>814</v>
      </c>
      <c r="D338" t="s">
        <v>106</v>
      </c>
      <c r="E338" t="s">
        <v>17</v>
      </c>
      <c r="F338" t="s">
        <v>598</v>
      </c>
      <c r="G338" t="s">
        <v>260</v>
      </c>
      <c r="H338" t="s">
        <v>11</v>
      </c>
      <c r="I338">
        <v>3</v>
      </c>
      <c r="J338" t="s">
        <v>98</v>
      </c>
      <c r="K338">
        <f t="shared" si="5"/>
        <v>8</v>
      </c>
      <c r="L338" cm="1">
        <f t="array" ref="L338">IFERROR(SUMPRODUCT((COUNTIF($D$2:$D$648,$D$2:$D$648)&gt;COUNTIF($D$2:$D$648,D338))/COUNTIF($D$2:$D$648,$D$2:$D$648))+1,"")</f>
        <v>24.999999999999957</v>
      </c>
    </row>
    <row r="339" spans="1:12" x14ac:dyDescent="0.3">
      <c r="A339" t="s">
        <v>164</v>
      </c>
      <c r="B339" s="3">
        <v>46338</v>
      </c>
      <c r="C339" t="s">
        <v>814</v>
      </c>
      <c r="D339" t="s">
        <v>73</v>
      </c>
      <c r="E339" t="s">
        <v>20</v>
      </c>
      <c r="F339" t="s">
        <v>599</v>
      </c>
      <c r="G339" t="s">
        <v>234</v>
      </c>
      <c r="H339" t="s">
        <v>11</v>
      </c>
      <c r="I339">
        <v>3</v>
      </c>
      <c r="J339" t="s">
        <v>29</v>
      </c>
      <c r="K339">
        <f t="shared" si="5"/>
        <v>11</v>
      </c>
      <c r="L339" cm="1">
        <f t="array" ref="L339">IFERROR(SUMPRODUCT((COUNTIF($D$2:$D$648,$D$2:$D$648)&gt;COUNTIF($D$2:$D$648,D339))/COUNTIF($D$2:$D$648,$D$2:$D$648))+1,"")</f>
        <v>11.999999999999961</v>
      </c>
    </row>
    <row r="340" spans="1:12" x14ac:dyDescent="0.3">
      <c r="A340" t="s">
        <v>164</v>
      </c>
      <c r="B340" s="3">
        <v>46338</v>
      </c>
      <c r="C340" t="s">
        <v>814</v>
      </c>
      <c r="D340" t="s">
        <v>56</v>
      </c>
      <c r="E340" t="s">
        <v>23</v>
      </c>
      <c r="F340" t="s">
        <v>600</v>
      </c>
      <c r="G340" t="s">
        <v>232</v>
      </c>
      <c r="H340" t="s">
        <v>11</v>
      </c>
      <c r="I340">
        <v>3</v>
      </c>
      <c r="J340" t="s">
        <v>29</v>
      </c>
      <c r="K340">
        <f t="shared" si="5"/>
        <v>6</v>
      </c>
      <c r="L340" cm="1">
        <f t="array" ref="L340">IFERROR(SUMPRODUCT((COUNTIF($D$2:$D$648,$D$2:$D$648)&gt;COUNTIF($D$2:$D$648,D340))/COUNTIF($D$2:$D$648,$D$2:$D$648))+1,"")</f>
        <v>39.000000000000114</v>
      </c>
    </row>
    <row r="341" spans="1:12" x14ac:dyDescent="0.3">
      <c r="A341" t="s">
        <v>164</v>
      </c>
      <c r="B341" s="3">
        <v>46338</v>
      </c>
      <c r="C341" t="s">
        <v>814</v>
      </c>
      <c r="D341" t="s">
        <v>83</v>
      </c>
      <c r="E341" t="s">
        <v>14</v>
      </c>
      <c r="F341" t="s">
        <v>601</v>
      </c>
      <c r="G341" t="s">
        <v>247</v>
      </c>
      <c r="H341" t="s">
        <v>11</v>
      </c>
      <c r="I341">
        <v>3</v>
      </c>
      <c r="J341" t="s">
        <v>28</v>
      </c>
      <c r="K341">
        <f t="shared" si="5"/>
        <v>19</v>
      </c>
      <c r="L341" cm="1">
        <f t="array" ref="L341">IFERROR(SUMPRODUCT((COUNTIF($D$2:$D$648,$D$2:$D$648)&gt;COUNTIF($D$2:$D$648,D341))/COUNTIF($D$2:$D$648,$D$2:$D$648))+1,"")</f>
        <v>4</v>
      </c>
    </row>
    <row r="342" spans="1:12" x14ac:dyDescent="0.3">
      <c r="A342" t="s">
        <v>164</v>
      </c>
      <c r="B342" s="3">
        <v>46339</v>
      </c>
      <c r="C342" t="s">
        <v>817</v>
      </c>
      <c r="D342" t="s">
        <v>45</v>
      </c>
      <c r="E342" t="s">
        <v>20</v>
      </c>
      <c r="F342" t="s">
        <v>602</v>
      </c>
      <c r="G342" t="s">
        <v>227</v>
      </c>
      <c r="H342" t="s">
        <v>11</v>
      </c>
      <c r="I342">
        <v>3</v>
      </c>
      <c r="J342" t="s">
        <v>59</v>
      </c>
      <c r="K342">
        <f t="shared" si="5"/>
        <v>7</v>
      </c>
      <c r="L342" cm="1">
        <f t="array" ref="L342">IFERROR(SUMPRODUCT((COUNTIF($D$2:$D$648,$D$2:$D$648)&gt;COUNTIF($D$2:$D$648,D342))/COUNTIF($D$2:$D$648,$D$2:$D$648))+1,"")</f>
        <v>31.999999999999968</v>
      </c>
    </row>
    <row r="343" spans="1:12" x14ac:dyDescent="0.3">
      <c r="A343" t="s">
        <v>164</v>
      </c>
      <c r="B343" s="3">
        <v>46339</v>
      </c>
      <c r="C343" t="s">
        <v>817</v>
      </c>
      <c r="D343" t="s">
        <v>177</v>
      </c>
      <c r="E343" t="s">
        <v>46</v>
      </c>
      <c r="F343" t="s">
        <v>325</v>
      </c>
      <c r="G343" t="s">
        <v>264</v>
      </c>
      <c r="H343" t="s">
        <v>11</v>
      </c>
      <c r="I343">
        <v>3</v>
      </c>
      <c r="J343" t="s">
        <v>37</v>
      </c>
      <c r="K343">
        <f t="shared" si="5"/>
        <v>1</v>
      </c>
      <c r="L343" cm="1">
        <f t="array" ref="L343">IFERROR(SUMPRODUCT((COUNTIF($D$2:$D$648,$D$2:$D$648)&gt;COUNTIF($D$2:$D$648,D343))/COUNTIF($D$2:$D$648,$D$2:$D$648))+1,"")</f>
        <v>80.000000000000426</v>
      </c>
    </row>
    <row r="344" spans="1:12" x14ac:dyDescent="0.3">
      <c r="A344" t="s">
        <v>164</v>
      </c>
      <c r="B344" s="3">
        <v>46339</v>
      </c>
      <c r="C344" t="s">
        <v>817</v>
      </c>
      <c r="D344" t="s">
        <v>168</v>
      </c>
      <c r="E344" t="s">
        <v>14</v>
      </c>
      <c r="F344" t="s">
        <v>603</v>
      </c>
      <c r="G344" t="s">
        <v>225</v>
      </c>
      <c r="H344" t="s">
        <v>11</v>
      </c>
      <c r="I344">
        <v>4</v>
      </c>
      <c r="J344" t="s">
        <v>40</v>
      </c>
      <c r="K344">
        <f t="shared" si="5"/>
        <v>2</v>
      </c>
      <c r="L344" cm="1">
        <f t="array" ref="L344">IFERROR(SUMPRODUCT((COUNTIF($D$2:$D$648,$D$2:$D$648)&gt;COUNTIF($D$2:$D$648,D344))/COUNTIF($D$2:$D$648,$D$2:$D$648))+1,"")</f>
        <v>65.000000000000426</v>
      </c>
    </row>
    <row r="345" spans="1:12" x14ac:dyDescent="0.3">
      <c r="A345" t="s">
        <v>164</v>
      </c>
      <c r="B345" s="3">
        <v>46339</v>
      </c>
      <c r="C345" t="s">
        <v>817</v>
      </c>
      <c r="D345" t="s">
        <v>96</v>
      </c>
      <c r="E345" t="s">
        <v>67</v>
      </c>
      <c r="F345" t="s">
        <v>604</v>
      </c>
      <c r="G345" t="s">
        <v>255</v>
      </c>
      <c r="H345" t="s">
        <v>11</v>
      </c>
      <c r="I345">
        <v>4</v>
      </c>
      <c r="J345" t="s">
        <v>40</v>
      </c>
      <c r="K345">
        <f t="shared" si="5"/>
        <v>8</v>
      </c>
      <c r="L345" cm="1">
        <f t="array" ref="L345">IFERROR(SUMPRODUCT((COUNTIF($D$2:$D$648,$D$2:$D$648)&gt;COUNTIF($D$2:$D$648,D345))/COUNTIF($D$2:$D$648,$D$2:$D$648))+1,"")</f>
        <v>24.999999999999957</v>
      </c>
    </row>
    <row r="346" spans="1:12" x14ac:dyDescent="0.3">
      <c r="A346" t="s">
        <v>164</v>
      </c>
      <c r="B346" s="3">
        <v>46339</v>
      </c>
      <c r="C346" t="s">
        <v>817</v>
      </c>
      <c r="D346" t="s">
        <v>43</v>
      </c>
      <c r="E346" t="s">
        <v>84</v>
      </c>
      <c r="F346" t="s">
        <v>605</v>
      </c>
      <c r="G346" t="s">
        <v>252</v>
      </c>
      <c r="H346" t="s">
        <v>11</v>
      </c>
      <c r="I346">
        <v>3</v>
      </c>
      <c r="J346" t="s">
        <v>37</v>
      </c>
      <c r="K346">
        <f t="shared" si="5"/>
        <v>15</v>
      </c>
      <c r="L346" cm="1">
        <f t="array" ref="L346">IFERROR(SUMPRODUCT((COUNTIF($D$2:$D$648,$D$2:$D$648)&gt;COUNTIF($D$2:$D$648,D346))/COUNTIF($D$2:$D$648,$D$2:$D$648))+1,"")</f>
        <v>6.9999999999999947</v>
      </c>
    </row>
    <row r="347" spans="1:12" x14ac:dyDescent="0.3">
      <c r="A347" t="s">
        <v>164</v>
      </c>
      <c r="B347" s="3">
        <v>46339</v>
      </c>
      <c r="C347" t="s">
        <v>817</v>
      </c>
      <c r="D347" t="s">
        <v>144</v>
      </c>
      <c r="E347" t="s">
        <v>23</v>
      </c>
      <c r="F347" t="s">
        <v>606</v>
      </c>
      <c r="G347" t="s">
        <v>244</v>
      </c>
      <c r="H347" t="s">
        <v>11</v>
      </c>
      <c r="I347">
        <v>3</v>
      </c>
      <c r="J347" t="s">
        <v>37</v>
      </c>
      <c r="K347">
        <f t="shared" si="5"/>
        <v>9</v>
      </c>
      <c r="L347" cm="1">
        <f t="array" ref="L347">IFERROR(SUMPRODUCT((COUNTIF($D$2:$D$648,$D$2:$D$648)&gt;COUNTIF($D$2:$D$648,D347))/COUNTIF($D$2:$D$648,$D$2:$D$648))+1,"")</f>
        <v>21.999999999999968</v>
      </c>
    </row>
    <row r="348" spans="1:12" x14ac:dyDescent="0.3">
      <c r="A348" t="s">
        <v>164</v>
      </c>
      <c r="B348" s="3">
        <v>46339</v>
      </c>
      <c r="C348" t="s">
        <v>817</v>
      </c>
      <c r="D348" t="s">
        <v>83</v>
      </c>
      <c r="E348" t="s">
        <v>17</v>
      </c>
      <c r="F348" t="s">
        <v>607</v>
      </c>
      <c r="G348" t="s">
        <v>247</v>
      </c>
      <c r="H348" t="s">
        <v>11</v>
      </c>
      <c r="I348">
        <v>3</v>
      </c>
      <c r="J348" t="s">
        <v>35</v>
      </c>
      <c r="K348">
        <f t="shared" si="5"/>
        <v>19</v>
      </c>
      <c r="L348" cm="1">
        <f t="array" ref="L348">IFERROR(SUMPRODUCT((COUNTIF($D$2:$D$648,$D$2:$D$648)&gt;COUNTIF($D$2:$D$648,D348))/COUNTIF($D$2:$D$648,$D$2:$D$648))+1,"")</f>
        <v>4</v>
      </c>
    </row>
    <row r="349" spans="1:12" x14ac:dyDescent="0.3">
      <c r="A349" t="s">
        <v>164</v>
      </c>
      <c r="B349" s="3">
        <v>46340</v>
      </c>
      <c r="C349" t="s">
        <v>815</v>
      </c>
      <c r="D349" t="s">
        <v>83</v>
      </c>
      <c r="E349" t="s">
        <v>20</v>
      </c>
      <c r="F349" t="s">
        <v>608</v>
      </c>
      <c r="G349" t="s">
        <v>247</v>
      </c>
      <c r="H349" t="s">
        <v>27</v>
      </c>
      <c r="I349">
        <v>5</v>
      </c>
      <c r="J349" t="s">
        <v>21</v>
      </c>
      <c r="K349">
        <f t="shared" si="5"/>
        <v>19</v>
      </c>
      <c r="L349" cm="1">
        <f t="array" ref="L349">IFERROR(SUMPRODUCT((COUNTIF($D$2:$D$648,$D$2:$D$648)&gt;COUNTIF($D$2:$D$648,D349))/COUNTIF($D$2:$D$648,$D$2:$D$648))+1,"")</f>
        <v>4</v>
      </c>
    </row>
    <row r="350" spans="1:12" x14ac:dyDescent="0.3">
      <c r="A350" t="s">
        <v>164</v>
      </c>
      <c r="B350" s="3">
        <v>46340</v>
      </c>
      <c r="C350" t="s">
        <v>815</v>
      </c>
      <c r="D350" t="s">
        <v>13</v>
      </c>
      <c r="E350" t="s">
        <v>84</v>
      </c>
      <c r="F350" t="s">
        <v>609</v>
      </c>
      <c r="G350" t="s">
        <v>218</v>
      </c>
      <c r="H350" t="s">
        <v>11</v>
      </c>
      <c r="I350">
        <v>7</v>
      </c>
      <c r="J350" t="s">
        <v>15</v>
      </c>
      <c r="K350">
        <f t="shared" si="5"/>
        <v>47</v>
      </c>
      <c r="L350" cm="1">
        <f t="array" ref="L350">IFERROR(SUMPRODUCT((COUNTIF($D$2:$D$648,$D$2:$D$648)&gt;COUNTIF($D$2:$D$648,D350))/COUNTIF($D$2:$D$648,$D$2:$D$648))+1,"")</f>
        <v>1</v>
      </c>
    </row>
    <row r="351" spans="1:12" x14ac:dyDescent="0.3">
      <c r="A351" t="s">
        <v>164</v>
      </c>
      <c r="B351" s="3">
        <v>46340</v>
      </c>
      <c r="C351" t="s">
        <v>815</v>
      </c>
      <c r="D351" t="s">
        <v>144</v>
      </c>
      <c r="E351" t="s">
        <v>23</v>
      </c>
      <c r="F351" t="s">
        <v>610</v>
      </c>
      <c r="G351" t="s">
        <v>244</v>
      </c>
      <c r="H351" t="s">
        <v>11</v>
      </c>
      <c r="I351">
        <v>5</v>
      </c>
      <c r="J351" t="s">
        <v>44</v>
      </c>
      <c r="K351">
        <f t="shared" si="5"/>
        <v>9</v>
      </c>
      <c r="L351" cm="1">
        <f t="array" ref="L351">IFERROR(SUMPRODUCT((COUNTIF($D$2:$D$648,$D$2:$D$648)&gt;COUNTIF($D$2:$D$648,D351))/COUNTIF($D$2:$D$648,$D$2:$D$648))+1,"")</f>
        <v>21.999999999999968</v>
      </c>
    </row>
    <row r="352" spans="1:12" x14ac:dyDescent="0.3">
      <c r="A352" t="s">
        <v>164</v>
      </c>
      <c r="B352" s="3">
        <v>46340</v>
      </c>
      <c r="C352" t="s">
        <v>815</v>
      </c>
      <c r="D352" t="s">
        <v>73</v>
      </c>
      <c r="E352" t="s">
        <v>14</v>
      </c>
      <c r="F352" t="s">
        <v>611</v>
      </c>
      <c r="G352" t="s">
        <v>234</v>
      </c>
      <c r="H352" t="s">
        <v>11</v>
      </c>
      <c r="I352">
        <v>5</v>
      </c>
      <c r="J352" t="s">
        <v>49</v>
      </c>
      <c r="K352">
        <f t="shared" si="5"/>
        <v>11</v>
      </c>
      <c r="L352" cm="1">
        <f t="array" ref="L352">IFERROR(SUMPRODUCT((COUNTIF($D$2:$D$648,$D$2:$D$648)&gt;COUNTIF($D$2:$D$648,D352))/COUNTIF($D$2:$D$648,$D$2:$D$648))+1,"")</f>
        <v>11.999999999999961</v>
      </c>
    </row>
    <row r="353" spans="1:12" x14ac:dyDescent="0.3">
      <c r="A353" t="s">
        <v>164</v>
      </c>
      <c r="B353" s="3">
        <v>46340</v>
      </c>
      <c r="C353" t="s">
        <v>815</v>
      </c>
      <c r="D353" t="s">
        <v>33</v>
      </c>
      <c r="E353" t="s">
        <v>67</v>
      </c>
      <c r="F353" t="s">
        <v>612</v>
      </c>
      <c r="G353" t="s">
        <v>224</v>
      </c>
      <c r="H353" t="s">
        <v>11</v>
      </c>
      <c r="I353">
        <v>5</v>
      </c>
      <c r="J353" t="s">
        <v>49</v>
      </c>
      <c r="K353">
        <f t="shared" si="5"/>
        <v>10</v>
      </c>
      <c r="L353" cm="1">
        <f t="array" ref="L353">IFERROR(SUMPRODUCT((COUNTIF($D$2:$D$648,$D$2:$D$648)&gt;COUNTIF($D$2:$D$648,D353))/COUNTIF($D$2:$D$648,$D$2:$D$648))+1,"")</f>
        <v>17.999999999999975</v>
      </c>
    </row>
    <row r="354" spans="1:12" x14ac:dyDescent="0.3">
      <c r="A354" t="s">
        <v>164</v>
      </c>
      <c r="B354" s="3">
        <v>46340</v>
      </c>
      <c r="C354" t="s">
        <v>815</v>
      </c>
      <c r="D354" t="s">
        <v>76</v>
      </c>
      <c r="E354" t="s">
        <v>17</v>
      </c>
      <c r="F354" t="s">
        <v>613</v>
      </c>
      <c r="G354" t="s">
        <v>229</v>
      </c>
      <c r="H354" t="s">
        <v>11</v>
      </c>
      <c r="I354">
        <v>5</v>
      </c>
      <c r="J354" t="s">
        <v>51</v>
      </c>
      <c r="K354">
        <f t="shared" si="5"/>
        <v>11</v>
      </c>
      <c r="L354" cm="1">
        <f t="array" ref="L354">IFERROR(SUMPRODUCT((COUNTIF($D$2:$D$648,$D$2:$D$648)&gt;COUNTIF($D$2:$D$648,D354))/COUNTIF($D$2:$D$648,$D$2:$D$648))+1,"")</f>
        <v>11.999999999999961</v>
      </c>
    </row>
    <row r="355" spans="1:12" x14ac:dyDescent="0.3">
      <c r="A355" t="s">
        <v>164</v>
      </c>
      <c r="B355" s="3">
        <v>46340</v>
      </c>
      <c r="C355" t="s">
        <v>815</v>
      </c>
      <c r="D355" t="s">
        <v>178</v>
      </c>
      <c r="E355" t="s">
        <v>84</v>
      </c>
      <c r="G355" t="s">
        <v>225</v>
      </c>
      <c r="H355" t="s">
        <v>11</v>
      </c>
      <c r="I355">
        <v>7</v>
      </c>
      <c r="J355" t="s">
        <v>15</v>
      </c>
      <c r="K355">
        <f t="shared" si="5"/>
        <v>1</v>
      </c>
      <c r="L355" cm="1">
        <f t="array" ref="L355">IFERROR(SUMPRODUCT((COUNTIF($D$2:$D$648,$D$2:$D$648)&gt;COUNTIF($D$2:$D$648,D355))/COUNTIF($D$2:$D$648,$D$2:$D$648))+1,"")</f>
        <v>80.000000000000426</v>
      </c>
    </row>
    <row r="356" spans="1:12" x14ac:dyDescent="0.3">
      <c r="A356" t="s">
        <v>164</v>
      </c>
      <c r="B356" s="3">
        <v>46343</v>
      </c>
      <c r="C356" t="s">
        <v>816</v>
      </c>
      <c r="D356" t="s">
        <v>83</v>
      </c>
      <c r="E356" t="s">
        <v>67</v>
      </c>
      <c r="F356" t="s">
        <v>614</v>
      </c>
      <c r="G356" t="s">
        <v>247</v>
      </c>
      <c r="H356" t="s">
        <v>27</v>
      </c>
      <c r="I356">
        <v>5</v>
      </c>
      <c r="J356" t="s">
        <v>21</v>
      </c>
      <c r="K356">
        <f t="shared" si="5"/>
        <v>19</v>
      </c>
      <c r="L356" cm="1">
        <f t="array" ref="L356">IFERROR(SUMPRODUCT((COUNTIF($D$2:$D$648,$D$2:$D$648)&gt;COUNTIF($D$2:$D$648,D356))/COUNTIF($D$2:$D$648,$D$2:$D$648))+1,"")</f>
        <v>4</v>
      </c>
    </row>
    <row r="357" spans="1:12" x14ac:dyDescent="0.3">
      <c r="A357" t="s">
        <v>164</v>
      </c>
      <c r="B357" s="3">
        <v>46343</v>
      </c>
      <c r="C357" t="s">
        <v>816</v>
      </c>
      <c r="D357" t="s">
        <v>13</v>
      </c>
      <c r="E357" t="s">
        <v>67</v>
      </c>
      <c r="F357" t="s">
        <v>595</v>
      </c>
      <c r="G357" t="s">
        <v>218</v>
      </c>
      <c r="H357" t="s">
        <v>11</v>
      </c>
      <c r="I357">
        <v>7</v>
      </c>
      <c r="J357" t="s">
        <v>15</v>
      </c>
      <c r="K357">
        <f t="shared" si="5"/>
        <v>47</v>
      </c>
      <c r="L357" cm="1">
        <f t="array" ref="L357">IFERROR(SUMPRODUCT((COUNTIF($D$2:$D$648,$D$2:$D$648)&gt;COUNTIF($D$2:$D$648,D357))/COUNTIF($D$2:$D$648,$D$2:$D$648))+1,"")</f>
        <v>1</v>
      </c>
    </row>
    <row r="358" spans="1:12" x14ac:dyDescent="0.3">
      <c r="A358" t="s">
        <v>164</v>
      </c>
      <c r="B358" s="3">
        <v>46343</v>
      </c>
      <c r="C358" t="s">
        <v>816</v>
      </c>
      <c r="D358" t="s">
        <v>69</v>
      </c>
      <c r="E358" t="s">
        <v>17</v>
      </c>
      <c r="F358" t="s">
        <v>615</v>
      </c>
      <c r="G358" t="s">
        <v>238</v>
      </c>
      <c r="H358" t="s">
        <v>11</v>
      </c>
      <c r="I358">
        <v>5</v>
      </c>
      <c r="J358" t="s">
        <v>12</v>
      </c>
      <c r="K358">
        <f t="shared" si="5"/>
        <v>17</v>
      </c>
      <c r="L358" cm="1">
        <f t="array" ref="L358">IFERROR(SUMPRODUCT((COUNTIF($D$2:$D$648,$D$2:$D$648)&gt;COUNTIF($D$2:$D$648,D358))/COUNTIF($D$2:$D$648,$D$2:$D$648))+1,"")</f>
        <v>5.9999999999999982</v>
      </c>
    </row>
    <row r="359" spans="1:12" x14ac:dyDescent="0.3">
      <c r="A359" t="s">
        <v>164</v>
      </c>
      <c r="B359" s="3">
        <v>46343</v>
      </c>
      <c r="C359" t="s">
        <v>816</v>
      </c>
      <c r="D359" t="s">
        <v>103</v>
      </c>
      <c r="E359" t="s">
        <v>14</v>
      </c>
      <c r="F359" t="s">
        <v>616</v>
      </c>
      <c r="G359" t="s">
        <v>225</v>
      </c>
      <c r="H359" t="s">
        <v>11</v>
      </c>
      <c r="I359">
        <v>7</v>
      </c>
      <c r="J359" t="s">
        <v>15</v>
      </c>
      <c r="K359">
        <f t="shared" si="5"/>
        <v>7</v>
      </c>
      <c r="L359" cm="1">
        <f t="array" ref="L359">IFERROR(SUMPRODUCT((COUNTIF($D$2:$D$648,$D$2:$D$648)&gt;COUNTIF($D$2:$D$648,D359))/COUNTIF($D$2:$D$648,$D$2:$D$648))+1,"")</f>
        <v>31.999999999999968</v>
      </c>
    </row>
    <row r="360" spans="1:12" x14ac:dyDescent="0.3">
      <c r="A360" t="s">
        <v>164</v>
      </c>
      <c r="B360" s="3">
        <v>46343</v>
      </c>
      <c r="C360" t="s">
        <v>816</v>
      </c>
      <c r="D360" t="s">
        <v>88</v>
      </c>
      <c r="E360" t="s">
        <v>23</v>
      </c>
      <c r="F360" t="s">
        <v>617</v>
      </c>
      <c r="G360" t="s">
        <v>249</v>
      </c>
      <c r="H360" t="s">
        <v>11</v>
      </c>
      <c r="I360">
        <v>5</v>
      </c>
      <c r="J360" t="s">
        <v>24</v>
      </c>
      <c r="K360">
        <f t="shared" si="5"/>
        <v>12</v>
      </c>
      <c r="L360" cm="1">
        <f t="array" ref="L360">IFERROR(SUMPRODUCT((COUNTIF($D$2:$D$648,$D$2:$D$648)&gt;COUNTIF($D$2:$D$648,D360))/COUNTIF($D$2:$D$648,$D$2:$D$648))+1,"")</f>
        <v>10.999999999999973</v>
      </c>
    </row>
    <row r="361" spans="1:12" x14ac:dyDescent="0.3">
      <c r="A361" t="s">
        <v>164</v>
      </c>
      <c r="B361" s="3">
        <v>46343</v>
      </c>
      <c r="C361" t="s">
        <v>816</v>
      </c>
      <c r="D361" t="s">
        <v>126</v>
      </c>
      <c r="E361" t="s">
        <v>20</v>
      </c>
      <c r="F361" t="s">
        <v>618</v>
      </c>
      <c r="G361" t="s">
        <v>266</v>
      </c>
      <c r="H361" t="s">
        <v>11</v>
      </c>
      <c r="I361">
        <v>5</v>
      </c>
      <c r="J361" t="s">
        <v>75</v>
      </c>
      <c r="K361">
        <f t="shared" si="5"/>
        <v>25</v>
      </c>
      <c r="L361" cm="1">
        <f t="array" ref="L361">IFERROR(SUMPRODUCT((COUNTIF($D$2:$D$648,$D$2:$D$648)&gt;COUNTIF($D$2:$D$648,D361))/COUNTIF($D$2:$D$648,$D$2:$D$648))+1,"")</f>
        <v>2.0000000000000004</v>
      </c>
    </row>
    <row r="362" spans="1:12" x14ac:dyDescent="0.3">
      <c r="A362" t="s">
        <v>164</v>
      </c>
      <c r="B362" s="3">
        <v>46343</v>
      </c>
      <c r="C362" t="s">
        <v>816</v>
      </c>
      <c r="D362" t="s">
        <v>76</v>
      </c>
      <c r="E362" t="s">
        <v>84</v>
      </c>
      <c r="F362" t="s">
        <v>619</v>
      </c>
      <c r="G362" t="s">
        <v>229</v>
      </c>
      <c r="H362" t="s">
        <v>11</v>
      </c>
      <c r="I362">
        <v>5</v>
      </c>
      <c r="J362" t="s">
        <v>51</v>
      </c>
      <c r="K362">
        <f t="shared" si="5"/>
        <v>11</v>
      </c>
      <c r="L362" cm="1">
        <f t="array" ref="L362">IFERROR(SUMPRODUCT((COUNTIF($D$2:$D$648,$D$2:$D$648)&gt;COUNTIF($D$2:$D$648,D362))/COUNTIF($D$2:$D$648,$D$2:$D$648))+1,"")</f>
        <v>11.999999999999961</v>
      </c>
    </row>
    <row r="363" spans="1:12" x14ac:dyDescent="0.3">
      <c r="A363" t="s">
        <v>164</v>
      </c>
      <c r="B363" s="3">
        <v>46344</v>
      </c>
      <c r="C363" t="s">
        <v>812</v>
      </c>
      <c r="D363" t="s">
        <v>52</v>
      </c>
      <c r="E363" t="s">
        <v>62</v>
      </c>
      <c r="F363" t="s">
        <v>326</v>
      </c>
      <c r="G363" t="s">
        <v>230</v>
      </c>
      <c r="H363" t="s">
        <v>27</v>
      </c>
      <c r="I363">
        <v>5</v>
      </c>
      <c r="J363" t="s">
        <v>18</v>
      </c>
      <c r="K363">
        <f t="shared" si="5"/>
        <v>11</v>
      </c>
      <c r="L363" cm="1">
        <f t="array" ref="L363">IFERROR(SUMPRODUCT((COUNTIF($D$2:$D$648,$D$2:$D$648)&gt;COUNTIF($D$2:$D$648,D363))/COUNTIF($D$2:$D$648,$D$2:$D$648))+1,"")</f>
        <v>11.999999999999961</v>
      </c>
    </row>
    <row r="364" spans="1:12" x14ac:dyDescent="0.3">
      <c r="A364" t="s">
        <v>164</v>
      </c>
      <c r="B364" s="3">
        <v>46344</v>
      </c>
      <c r="C364" t="s">
        <v>812</v>
      </c>
      <c r="D364" t="s">
        <v>83</v>
      </c>
      <c r="E364" t="s">
        <v>84</v>
      </c>
      <c r="F364" t="s">
        <v>620</v>
      </c>
      <c r="G364" t="s">
        <v>247</v>
      </c>
      <c r="H364" t="s">
        <v>27</v>
      </c>
      <c r="I364">
        <v>7</v>
      </c>
      <c r="J364" t="s">
        <v>15</v>
      </c>
      <c r="K364">
        <f t="shared" si="5"/>
        <v>19</v>
      </c>
      <c r="L364" cm="1">
        <f t="array" ref="L364">IFERROR(SUMPRODUCT((COUNTIF($D$2:$D$648,$D$2:$D$648)&gt;COUNTIF($D$2:$D$648,D364))/COUNTIF($D$2:$D$648,$D$2:$D$648))+1,"")</f>
        <v>4</v>
      </c>
    </row>
    <row r="365" spans="1:12" x14ac:dyDescent="0.3">
      <c r="A365" t="s">
        <v>164</v>
      </c>
      <c r="B365" s="3">
        <v>46344</v>
      </c>
      <c r="C365" t="s">
        <v>812</v>
      </c>
      <c r="D365" t="s">
        <v>69</v>
      </c>
      <c r="E365" t="s">
        <v>17</v>
      </c>
      <c r="F365" t="s">
        <v>615</v>
      </c>
      <c r="G365" t="s">
        <v>238</v>
      </c>
      <c r="H365" t="s">
        <v>11</v>
      </c>
      <c r="I365">
        <v>5</v>
      </c>
      <c r="J365" t="s">
        <v>12</v>
      </c>
      <c r="K365">
        <f t="shared" si="5"/>
        <v>17</v>
      </c>
      <c r="L365" cm="1">
        <f t="array" ref="L365">IFERROR(SUMPRODUCT((COUNTIF($D$2:$D$648,$D$2:$D$648)&gt;COUNTIF($D$2:$D$648,D365))/COUNTIF($D$2:$D$648,$D$2:$D$648))+1,"")</f>
        <v>5.9999999999999982</v>
      </c>
    </row>
    <row r="366" spans="1:12" x14ac:dyDescent="0.3">
      <c r="A366" t="s">
        <v>164</v>
      </c>
      <c r="B366" s="3">
        <v>46344</v>
      </c>
      <c r="C366" t="s">
        <v>812</v>
      </c>
      <c r="D366" t="s">
        <v>71</v>
      </c>
      <c r="E366" t="s">
        <v>23</v>
      </c>
      <c r="F366" t="s">
        <v>621</v>
      </c>
      <c r="G366" t="s">
        <v>240</v>
      </c>
      <c r="H366" t="s">
        <v>11</v>
      </c>
      <c r="I366">
        <v>5</v>
      </c>
      <c r="J366" t="s">
        <v>44</v>
      </c>
      <c r="K366">
        <f t="shared" si="5"/>
        <v>13</v>
      </c>
      <c r="L366" cm="1">
        <f t="array" ref="L366">IFERROR(SUMPRODUCT((COUNTIF($D$2:$D$648,$D$2:$D$648)&gt;COUNTIF($D$2:$D$648,D366))/COUNTIF($D$2:$D$648,$D$2:$D$648))+1,"")</f>
        <v>7.999999999999992</v>
      </c>
    </row>
    <row r="367" spans="1:12" x14ac:dyDescent="0.3">
      <c r="A367" t="s">
        <v>164</v>
      </c>
      <c r="B367" s="3">
        <v>46344</v>
      </c>
      <c r="C367" t="s">
        <v>812</v>
      </c>
      <c r="D367" t="s">
        <v>105</v>
      </c>
      <c r="E367" t="s">
        <v>20</v>
      </c>
      <c r="F367" t="s">
        <v>622</v>
      </c>
      <c r="G367" t="s">
        <v>259</v>
      </c>
      <c r="H367" t="s">
        <v>11</v>
      </c>
      <c r="I367">
        <v>5</v>
      </c>
      <c r="J367" t="s">
        <v>12</v>
      </c>
      <c r="K367">
        <f t="shared" si="5"/>
        <v>20</v>
      </c>
      <c r="L367" cm="1">
        <f t="array" ref="L367">IFERROR(SUMPRODUCT((COUNTIF($D$2:$D$648,$D$2:$D$648)&gt;COUNTIF($D$2:$D$648,D367))/COUNTIF($D$2:$D$648,$D$2:$D$648))+1,"")</f>
        <v>3.0000000000000009</v>
      </c>
    </row>
    <row r="368" spans="1:12" x14ac:dyDescent="0.3">
      <c r="A368" t="s">
        <v>164</v>
      </c>
      <c r="B368" s="3">
        <v>46345</v>
      </c>
      <c r="C368" t="s">
        <v>814</v>
      </c>
      <c r="D368" t="s">
        <v>69</v>
      </c>
      <c r="E368" t="s">
        <v>17</v>
      </c>
      <c r="F368" t="s">
        <v>615</v>
      </c>
      <c r="G368" t="s">
        <v>238</v>
      </c>
      <c r="H368" t="s">
        <v>11</v>
      </c>
      <c r="I368">
        <v>3</v>
      </c>
      <c r="J368" t="s">
        <v>29</v>
      </c>
      <c r="K368">
        <f t="shared" si="5"/>
        <v>17</v>
      </c>
      <c r="L368" cm="1">
        <f t="array" ref="L368">IFERROR(SUMPRODUCT((COUNTIF($D$2:$D$648,$D$2:$D$648)&gt;COUNTIF($D$2:$D$648,D368))/COUNTIF($D$2:$D$648,$D$2:$D$648))+1,"")</f>
        <v>5.9999999999999982</v>
      </c>
    </row>
    <row r="369" spans="1:12" x14ac:dyDescent="0.3">
      <c r="A369" t="s">
        <v>164</v>
      </c>
      <c r="B369" s="3">
        <v>46345</v>
      </c>
      <c r="C369" t="s">
        <v>814</v>
      </c>
      <c r="D369" t="s">
        <v>103</v>
      </c>
      <c r="E369" t="s">
        <v>14</v>
      </c>
      <c r="F369" t="s">
        <v>623</v>
      </c>
      <c r="G369" t="s">
        <v>225</v>
      </c>
      <c r="H369" t="s">
        <v>11</v>
      </c>
      <c r="I369">
        <v>4</v>
      </c>
      <c r="J369" t="s">
        <v>30</v>
      </c>
      <c r="K369">
        <f t="shared" si="5"/>
        <v>7</v>
      </c>
      <c r="L369" cm="1">
        <f t="array" ref="L369">IFERROR(SUMPRODUCT((COUNTIF($D$2:$D$648,$D$2:$D$648)&gt;COUNTIF($D$2:$D$648,D369))/COUNTIF($D$2:$D$648,$D$2:$D$648))+1,"")</f>
        <v>31.999999999999968</v>
      </c>
    </row>
    <row r="370" spans="1:12" x14ac:dyDescent="0.3">
      <c r="A370" t="s">
        <v>164</v>
      </c>
      <c r="B370" s="3">
        <v>46345</v>
      </c>
      <c r="C370" t="s">
        <v>814</v>
      </c>
      <c r="D370" t="s">
        <v>16</v>
      </c>
      <c r="E370" t="s">
        <v>46</v>
      </c>
      <c r="F370" t="s">
        <v>327</v>
      </c>
      <c r="G370" t="s">
        <v>219</v>
      </c>
      <c r="H370" t="s">
        <v>11</v>
      </c>
      <c r="I370">
        <v>3</v>
      </c>
      <c r="J370" t="s">
        <v>28</v>
      </c>
      <c r="K370">
        <f t="shared" si="5"/>
        <v>10</v>
      </c>
      <c r="L370" cm="1">
        <f t="array" ref="L370">IFERROR(SUMPRODUCT((COUNTIF($D$2:$D$648,$D$2:$D$648)&gt;COUNTIF($D$2:$D$648,D370))/COUNTIF($D$2:$D$648,$D$2:$D$648))+1,"")</f>
        <v>17.999999999999975</v>
      </c>
    </row>
    <row r="371" spans="1:12" x14ac:dyDescent="0.3">
      <c r="A371" t="s">
        <v>164</v>
      </c>
      <c r="B371" s="3">
        <v>46345</v>
      </c>
      <c r="C371" t="s">
        <v>814</v>
      </c>
      <c r="D371" t="s">
        <v>106</v>
      </c>
      <c r="E371" t="s">
        <v>20</v>
      </c>
      <c r="F371" t="s">
        <v>624</v>
      </c>
      <c r="G371" t="s">
        <v>260</v>
      </c>
      <c r="H371" t="s">
        <v>11</v>
      </c>
      <c r="I371">
        <v>3</v>
      </c>
      <c r="J371" t="s">
        <v>98</v>
      </c>
      <c r="K371">
        <f t="shared" si="5"/>
        <v>8</v>
      </c>
      <c r="L371" cm="1">
        <f t="array" ref="L371">IFERROR(SUMPRODUCT((COUNTIF($D$2:$D$648,$D$2:$D$648)&gt;COUNTIF($D$2:$D$648,D371))/COUNTIF($D$2:$D$648,$D$2:$D$648))+1,"")</f>
        <v>24.999999999999957</v>
      </c>
    </row>
    <row r="372" spans="1:12" x14ac:dyDescent="0.3">
      <c r="A372" t="s">
        <v>164</v>
      </c>
      <c r="B372" s="3">
        <v>46345</v>
      </c>
      <c r="C372" t="s">
        <v>814</v>
      </c>
      <c r="D372" t="s">
        <v>110</v>
      </c>
      <c r="E372" t="s">
        <v>179</v>
      </c>
      <c r="F372" t="s">
        <v>328</v>
      </c>
      <c r="G372" t="s">
        <v>262</v>
      </c>
      <c r="H372" t="s">
        <v>11</v>
      </c>
      <c r="I372">
        <v>3</v>
      </c>
      <c r="J372" t="s">
        <v>98</v>
      </c>
      <c r="K372">
        <f t="shared" si="5"/>
        <v>11</v>
      </c>
      <c r="L372" cm="1">
        <f t="array" ref="L372">IFERROR(SUMPRODUCT((COUNTIF($D$2:$D$648,$D$2:$D$648)&gt;COUNTIF($D$2:$D$648,D372))/COUNTIF($D$2:$D$648,$D$2:$D$648))+1,"")</f>
        <v>11.999999999999961</v>
      </c>
    </row>
    <row r="373" spans="1:12" x14ac:dyDescent="0.3">
      <c r="A373" t="s">
        <v>164</v>
      </c>
      <c r="B373" s="3">
        <v>46346</v>
      </c>
      <c r="C373" t="s">
        <v>817</v>
      </c>
      <c r="D373" t="s">
        <v>69</v>
      </c>
      <c r="E373" t="s">
        <v>17</v>
      </c>
      <c r="F373" t="s">
        <v>615</v>
      </c>
      <c r="G373" t="s">
        <v>238</v>
      </c>
      <c r="H373" t="s">
        <v>11</v>
      </c>
      <c r="I373">
        <v>3</v>
      </c>
      <c r="J373" t="s">
        <v>37</v>
      </c>
      <c r="K373">
        <f t="shared" si="5"/>
        <v>17</v>
      </c>
      <c r="L373" cm="1">
        <f t="array" ref="L373">IFERROR(SUMPRODUCT((COUNTIF($D$2:$D$648,$D$2:$D$648)&gt;COUNTIF($D$2:$D$648,D373))/COUNTIF($D$2:$D$648,$D$2:$D$648))+1,"")</f>
        <v>5.9999999999999982</v>
      </c>
    </row>
    <row r="374" spans="1:12" x14ac:dyDescent="0.3">
      <c r="A374" t="s">
        <v>164</v>
      </c>
      <c r="B374" s="3">
        <v>46346</v>
      </c>
      <c r="C374" t="s">
        <v>817</v>
      </c>
      <c r="D374" t="s">
        <v>150</v>
      </c>
      <c r="E374" t="s">
        <v>67</v>
      </c>
      <c r="F374" t="s">
        <v>625</v>
      </c>
      <c r="G374" t="s">
        <v>221</v>
      </c>
      <c r="H374" t="s">
        <v>11</v>
      </c>
      <c r="I374">
        <v>3</v>
      </c>
      <c r="J374" t="s">
        <v>35</v>
      </c>
      <c r="K374">
        <f t="shared" si="5"/>
        <v>3</v>
      </c>
      <c r="L374" cm="1">
        <f t="array" ref="L374">IFERROR(SUMPRODUCT((COUNTIF($D$2:$D$648,$D$2:$D$648)&gt;COUNTIF($D$2:$D$648,D374))/COUNTIF($D$2:$D$648,$D$2:$D$648))+1,"")</f>
        <v>58.000000000000348</v>
      </c>
    </row>
    <row r="375" spans="1:12" x14ac:dyDescent="0.3">
      <c r="A375" t="s">
        <v>164</v>
      </c>
      <c r="B375" s="3">
        <v>46346</v>
      </c>
      <c r="C375" t="s">
        <v>817</v>
      </c>
      <c r="D375" t="s">
        <v>152</v>
      </c>
      <c r="E375" t="s">
        <v>20</v>
      </c>
      <c r="F375" t="s">
        <v>626</v>
      </c>
      <c r="G375" t="s">
        <v>258</v>
      </c>
      <c r="H375" t="s">
        <v>11</v>
      </c>
      <c r="I375">
        <v>3</v>
      </c>
      <c r="J375" t="s">
        <v>37</v>
      </c>
      <c r="K375">
        <f t="shared" si="5"/>
        <v>7</v>
      </c>
      <c r="L375" cm="1">
        <f t="array" ref="L375">IFERROR(SUMPRODUCT((COUNTIF($D$2:$D$648,$D$2:$D$648)&gt;COUNTIF($D$2:$D$648,D375))/COUNTIF($D$2:$D$648,$D$2:$D$648))+1,"")</f>
        <v>31.999999999999968</v>
      </c>
    </row>
    <row r="376" spans="1:12" x14ac:dyDescent="0.3">
      <c r="A376" t="s">
        <v>164</v>
      </c>
      <c r="B376" s="3">
        <v>46346</v>
      </c>
      <c r="C376" t="s">
        <v>817</v>
      </c>
      <c r="D376" t="s">
        <v>116</v>
      </c>
      <c r="E376" t="s">
        <v>14</v>
      </c>
      <c r="F376" t="s">
        <v>627</v>
      </c>
      <c r="G376" t="s">
        <v>263</v>
      </c>
      <c r="H376" t="s">
        <v>11</v>
      </c>
      <c r="I376">
        <v>3</v>
      </c>
      <c r="J376" t="s">
        <v>59</v>
      </c>
      <c r="K376">
        <f t="shared" si="5"/>
        <v>5</v>
      </c>
      <c r="L376" cm="1">
        <f t="array" ref="L376">IFERROR(SUMPRODUCT((COUNTIF($D$2:$D$648,$D$2:$D$648)&gt;COUNTIF($D$2:$D$648,D376))/COUNTIF($D$2:$D$648,$D$2:$D$648))+1,"")</f>
        <v>43.000000000000199</v>
      </c>
    </row>
    <row r="377" spans="1:12" x14ac:dyDescent="0.3">
      <c r="A377" t="s">
        <v>164</v>
      </c>
      <c r="B377" s="3">
        <v>46346</v>
      </c>
      <c r="C377" t="s">
        <v>817</v>
      </c>
      <c r="D377" t="s">
        <v>95</v>
      </c>
      <c r="E377" t="s">
        <v>23</v>
      </c>
      <c r="F377" t="s">
        <v>628</v>
      </c>
      <c r="G377" t="s">
        <v>254</v>
      </c>
      <c r="H377" t="s">
        <v>11</v>
      </c>
      <c r="I377">
        <v>3</v>
      </c>
      <c r="J377" t="s">
        <v>35</v>
      </c>
      <c r="K377">
        <f t="shared" si="5"/>
        <v>11</v>
      </c>
      <c r="L377" cm="1">
        <f t="array" ref="L377">IFERROR(SUMPRODUCT((COUNTIF($D$2:$D$648,$D$2:$D$648)&gt;COUNTIF($D$2:$D$648,D377))/COUNTIF($D$2:$D$648,$D$2:$D$648))+1,"")</f>
        <v>11.999999999999961</v>
      </c>
    </row>
    <row r="378" spans="1:12" x14ac:dyDescent="0.3">
      <c r="A378" t="s">
        <v>164</v>
      </c>
      <c r="B378" s="3">
        <v>46346</v>
      </c>
      <c r="C378" t="s">
        <v>817</v>
      </c>
      <c r="D378" t="s">
        <v>180</v>
      </c>
      <c r="E378" t="s">
        <v>84</v>
      </c>
      <c r="F378" t="s">
        <v>629</v>
      </c>
      <c r="G378" t="s">
        <v>267</v>
      </c>
      <c r="H378" t="s">
        <v>11</v>
      </c>
      <c r="I378">
        <v>3</v>
      </c>
      <c r="J378" t="s">
        <v>59</v>
      </c>
      <c r="K378">
        <f t="shared" si="5"/>
        <v>1</v>
      </c>
      <c r="L378" cm="1">
        <f t="array" ref="L378">IFERROR(SUMPRODUCT((COUNTIF($D$2:$D$648,$D$2:$D$648)&gt;COUNTIF($D$2:$D$648,D378))/COUNTIF($D$2:$D$648,$D$2:$D$648))+1,"")</f>
        <v>80.000000000000426</v>
      </c>
    </row>
    <row r="379" spans="1:12" x14ac:dyDescent="0.3">
      <c r="A379" t="s">
        <v>164</v>
      </c>
      <c r="B379" s="3">
        <v>46346</v>
      </c>
      <c r="C379" t="s">
        <v>817</v>
      </c>
      <c r="D379" t="s">
        <v>83</v>
      </c>
      <c r="E379" t="s">
        <v>179</v>
      </c>
      <c r="F379" t="s">
        <v>329</v>
      </c>
      <c r="G379" t="s">
        <v>247</v>
      </c>
      <c r="H379" t="s">
        <v>11</v>
      </c>
      <c r="I379">
        <v>3</v>
      </c>
      <c r="J379" t="s">
        <v>35</v>
      </c>
      <c r="K379">
        <f t="shared" si="5"/>
        <v>19</v>
      </c>
      <c r="L379" cm="1">
        <f t="array" ref="L379">IFERROR(SUMPRODUCT((COUNTIF($D$2:$D$648,$D$2:$D$648)&gt;COUNTIF($D$2:$D$648,D379))/COUNTIF($D$2:$D$648,$D$2:$D$648))+1,"")</f>
        <v>4</v>
      </c>
    </row>
    <row r="380" spans="1:12" x14ac:dyDescent="0.3">
      <c r="A380" t="s">
        <v>164</v>
      </c>
      <c r="B380" s="3">
        <v>46347</v>
      </c>
      <c r="C380" t="s">
        <v>815</v>
      </c>
      <c r="D380" t="s">
        <v>149</v>
      </c>
      <c r="E380" t="s">
        <v>14</v>
      </c>
      <c r="F380" t="s">
        <v>630</v>
      </c>
      <c r="G380" t="s">
        <v>278</v>
      </c>
      <c r="H380" t="s">
        <v>27</v>
      </c>
      <c r="I380">
        <v>5</v>
      </c>
      <c r="J380" t="s">
        <v>112</v>
      </c>
      <c r="K380">
        <f t="shared" si="5"/>
        <v>6</v>
      </c>
      <c r="L380" cm="1">
        <f t="array" ref="L380">IFERROR(SUMPRODUCT((COUNTIF($D$2:$D$648,$D$2:$D$648)&gt;COUNTIF($D$2:$D$648,D380))/COUNTIF($D$2:$D$648,$D$2:$D$648))+1,"")</f>
        <v>39.000000000000114</v>
      </c>
    </row>
    <row r="381" spans="1:12" x14ac:dyDescent="0.3">
      <c r="A381" t="s">
        <v>164</v>
      </c>
      <c r="B381" s="3">
        <v>46347</v>
      </c>
      <c r="C381" t="s">
        <v>815</v>
      </c>
      <c r="D381" t="s">
        <v>96</v>
      </c>
      <c r="E381" t="s">
        <v>14</v>
      </c>
      <c r="F381" t="s">
        <v>631</v>
      </c>
      <c r="G381" t="s">
        <v>255</v>
      </c>
      <c r="H381" t="s">
        <v>27</v>
      </c>
      <c r="I381">
        <v>5</v>
      </c>
      <c r="J381" t="s">
        <v>112</v>
      </c>
      <c r="K381">
        <f t="shared" si="5"/>
        <v>8</v>
      </c>
      <c r="L381" cm="1">
        <f t="array" ref="L381">IFERROR(SUMPRODUCT((COUNTIF($D$2:$D$648,$D$2:$D$648)&gt;COUNTIF($D$2:$D$648,D381))/COUNTIF($D$2:$D$648,$D$2:$D$648))+1,"")</f>
        <v>24.999999999999957</v>
      </c>
    </row>
    <row r="382" spans="1:12" x14ac:dyDescent="0.3">
      <c r="A382" t="s">
        <v>164</v>
      </c>
      <c r="B382" s="3">
        <v>46347</v>
      </c>
      <c r="C382" t="s">
        <v>815</v>
      </c>
      <c r="D382" t="s">
        <v>13</v>
      </c>
      <c r="E382" t="s">
        <v>23</v>
      </c>
      <c r="F382" t="s">
        <v>437</v>
      </c>
      <c r="G382" t="s">
        <v>218</v>
      </c>
      <c r="H382" t="s">
        <v>11</v>
      </c>
      <c r="I382">
        <v>7</v>
      </c>
      <c r="J382" t="s">
        <v>15</v>
      </c>
      <c r="K382">
        <f t="shared" si="5"/>
        <v>47</v>
      </c>
      <c r="L382" cm="1">
        <f t="array" ref="L382">IFERROR(SUMPRODUCT((COUNTIF($D$2:$D$648,$D$2:$D$648)&gt;COUNTIF($D$2:$D$648,D382))/COUNTIF($D$2:$D$648,$D$2:$D$648))+1,"")</f>
        <v>1</v>
      </c>
    </row>
    <row r="383" spans="1:12" x14ac:dyDescent="0.3">
      <c r="A383" t="s">
        <v>164</v>
      </c>
      <c r="B383" s="3">
        <v>46347</v>
      </c>
      <c r="C383" t="s">
        <v>815</v>
      </c>
      <c r="D383" t="s">
        <v>101</v>
      </c>
      <c r="E383" t="s">
        <v>23</v>
      </c>
      <c r="F383" t="s">
        <v>632</v>
      </c>
      <c r="G383" t="s">
        <v>224</v>
      </c>
      <c r="H383" t="s">
        <v>11</v>
      </c>
      <c r="I383">
        <v>5</v>
      </c>
      <c r="J383" t="s">
        <v>49</v>
      </c>
      <c r="K383">
        <f t="shared" si="5"/>
        <v>5</v>
      </c>
      <c r="L383" cm="1">
        <f t="array" ref="L383">IFERROR(SUMPRODUCT((COUNTIF($D$2:$D$648,$D$2:$D$648)&gt;COUNTIF($D$2:$D$648,D383))/COUNTIF($D$2:$D$648,$D$2:$D$648))+1,"")</f>
        <v>43.000000000000199</v>
      </c>
    </row>
    <row r="384" spans="1:12" x14ac:dyDescent="0.3">
      <c r="A384" t="s">
        <v>164</v>
      </c>
      <c r="B384" s="3">
        <v>46347</v>
      </c>
      <c r="C384" t="s">
        <v>815</v>
      </c>
      <c r="D384" t="s">
        <v>69</v>
      </c>
      <c r="E384" t="s">
        <v>17</v>
      </c>
      <c r="F384" t="s">
        <v>615</v>
      </c>
      <c r="G384" t="s">
        <v>238</v>
      </c>
      <c r="H384" t="s">
        <v>11</v>
      </c>
      <c r="I384">
        <v>5</v>
      </c>
      <c r="J384" t="s">
        <v>12</v>
      </c>
      <c r="K384">
        <f t="shared" si="5"/>
        <v>17</v>
      </c>
      <c r="L384" cm="1">
        <f t="array" ref="L384">IFERROR(SUMPRODUCT((COUNTIF($D$2:$D$648,$D$2:$D$648)&gt;COUNTIF($D$2:$D$648,D384))/COUNTIF($D$2:$D$648,$D$2:$D$648))+1,"")</f>
        <v>5.9999999999999982</v>
      </c>
    </row>
    <row r="385" spans="1:12" x14ac:dyDescent="0.3">
      <c r="A385" t="s">
        <v>164</v>
      </c>
      <c r="B385" s="3">
        <v>46347</v>
      </c>
      <c r="C385" t="s">
        <v>815</v>
      </c>
      <c r="D385" t="s">
        <v>150</v>
      </c>
      <c r="E385" t="s">
        <v>67</v>
      </c>
      <c r="F385" t="s">
        <v>625</v>
      </c>
      <c r="G385" t="s">
        <v>221</v>
      </c>
      <c r="H385" t="s">
        <v>11</v>
      </c>
      <c r="I385">
        <v>5</v>
      </c>
      <c r="J385" t="s">
        <v>24</v>
      </c>
      <c r="K385">
        <f t="shared" si="5"/>
        <v>3</v>
      </c>
      <c r="L385" cm="1">
        <f t="array" ref="L385">IFERROR(SUMPRODUCT((COUNTIF($D$2:$D$648,$D$2:$D$648)&gt;COUNTIF($D$2:$D$648,D385))/COUNTIF($D$2:$D$648,$D$2:$D$648))+1,"")</f>
        <v>58.000000000000348</v>
      </c>
    </row>
    <row r="386" spans="1:12" x14ac:dyDescent="0.3">
      <c r="A386" t="s">
        <v>164</v>
      </c>
      <c r="B386" s="3">
        <v>46347</v>
      </c>
      <c r="C386" t="s">
        <v>815</v>
      </c>
      <c r="D386" t="s">
        <v>181</v>
      </c>
      <c r="E386" t="s">
        <v>66</v>
      </c>
      <c r="F386" t="s">
        <v>330</v>
      </c>
      <c r="G386" t="s">
        <v>246</v>
      </c>
      <c r="H386" t="s">
        <v>11</v>
      </c>
      <c r="I386">
        <v>7</v>
      </c>
      <c r="J386" t="s">
        <v>15</v>
      </c>
      <c r="K386">
        <f t="shared" ref="K386:K449" si="6">COUNTIF($D$2:$D$700,D386)</f>
        <v>1</v>
      </c>
      <c r="L386" cm="1">
        <f t="array" ref="L386">IFERROR(SUMPRODUCT((COUNTIF($D$2:$D$648,$D$2:$D$648)&gt;COUNTIF($D$2:$D$648,D386))/COUNTIF($D$2:$D$648,$D$2:$D$648))+1,"")</f>
        <v>80.000000000000426</v>
      </c>
    </row>
    <row r="387" spans="1:12" x14ac:dyDescent="0.3">
      <c r="A387" t="s">
        <v>164</v>
      </c>
      <c r="B387" s="3">
        <v>46347</v>
      </c>
      <c r="C387" t="s">
        <v>815</v>
      </c>
      <c r="D387" t="s">
        <v>182</v>
      </c>
      <c r="E387" t="s">
        <v>66</v>
      </c>
      <c r="F387" t="s">
        <v>331</v>
      </c>
      <c r="G387" t="s">
        <v>281</v>
      </c>
      <c r="H387" t="s">
        <v>11</v>
      </c>
      <c r="I387">
        <v>7</v>
      </c>
      <c r="J387" t="s">
        <v>15</v>
      </c>
      <c r="K387">
        <f t="shared" si="6"/>
        <v>1</v>
      </c>
      <c r="L387" cm="1">
        <f t="array" ref="L387">IFERROR(SUMPRODUCT((COUNTIF($D$2:$D$648,$D$2:$D$648)&gt;COUNTIF($D$2:$D$648,D387))/COUNTIF($D$2:$D$648,$D$2:$D$648))+1,"")</f>
        <v>80.000000000000426</v>
      </c>
    </row>
    <row r="388" spans="1:12" x14ac:dyDescent="0.3">
      <c r="A388" t="s">
        <v>164</v>
      </c>
      <c r="B388" s="3">
        <v>46347</v>
      </c>
      <c r="C388" t="s">
        <v>815</v>
      </c>
      <c r="D388" t="s">
        <v>105</v>
      </c>
      <c r="E388" t="s">
        <v>84</v>
      </c>
      <c r="F388" t="s">
        <v>633</v>
      </c>
      <c r="G388" t="s">
        <v>259</v>
      </c>
      <c r="H388" t="s">
        <v>11</v>
      </c>
      <c r="I388">
        <v>5</v>
      </c>
      <c r="J388" t="s">
        <v>12</v>
      </c>
      <c r="K388">
        <f t="shared" si="6"/>
        <v>20</v>
      </c>
      <c r="L388" cm="1">
        <f t="array" ref="L388">IFERROR(SUMPRODUCT((COUNTIF($D$2:$D$648,$D$2:$D$648)&gt;COUNTIF($D$2:$D$648,D388))/COUNTIF($D$2:$D$648,$D$2:$D$648))+1,"")</f>
        <v>3.0000000000000009</v>
      </c>
    </row>
    <row r="389" spans="1:12" x14ac:dyDescent="0.3">
      <c r="A389" t="s">
        <v>183</v>
      </c>
      <c r="B389" s="3">
        <v>46357</v>
      </c>
      <c r="C389" t="s">
        <v>816</v>
      </c>
      <c r="D389" t="s">
        <v>13</v>
      </c>
      <c r="E389" t="s">
        <v>23</v>
      </c>
      <c r="F389" t="s">
        <v>595</v>
      </c>
      <c r="G389" t="s">
        <v>218</v>
      </c>
      <c r="H389" t="s">
        <v>11</v>
      </c>
      <c r="I389">
        <v>7</v>
      </c>
      <c r="J389" t="s">
        <v>15</v>
      </c>
      <c r="K389">
        <f t="shared" si="6"/>
        <v>47</v>
      </c>
      <c r="L389" cm="1">
        <f t="array" ref="L389">IFERROR(SUMPRODUCT((COUNTIF($D$2:$D$648,$D$2:$D$648)&gt;COUNTIF($D$2:$D$648,D389))/COUNTIF($D$2:$D$648,$D$2:$D$648))+1,"")</f>
        <v>1</v>
      </c>
    </row>
    <row r="390" spans="1:12" x14ac:dyDescent="0.3">
      <c r="A390" t="s">
        <v>183</v>
      </c>
      <c r="B390" s="3">
        <v>46357</v>
      </c>
      <c r="C390" t="s">
        <v>816</v>
      </c>
      <c r="D390" t="s">
        <v>103</v>
      </c>
      <c r="E390" t="s">
        <v>14</v>
      </c>
      <c r="F390" t="s">
        <v>634</v>
      </c>
      <c r="G390" t="s">
        <v>225</v>
      </c>
      <c r="H390" t="s">
        <v>11</v>
      </c>
      <c r="I390">
        <v>7</v>
      </c>
      <c r="J390" t="s">
        <v>15</v>
      </c>
      <c r="K390">
        <f t="shared" si="6"/>
        <v>7</v>
      </c>
      <c r="L390" cm="1">
        <f t="array" ref="L390">IFERROR(SUMPRODUCT((COUNTIF($D$2:$D$648,$D$2:$D$648)&gt;COUNTIF($D$2:$D$648,D390))/COUNTIF($D$2:$D$648,$D$2:$D$648))+1,"")</f>
        <v>31.999999999999968</v>
      </c>
    </row>
    <row r="391" spans="1:12" x14ac:dyDescent="0.3">
      <c r="A391" t="s">
        <v>183</v>
      </c>
      <c r="B391" s="3">
        <v>46357</v>
      </c>
      <c r="C391" t="s">
        <v>816</v>
      </c>
      <c r="D391" t="s">
        <v>43</v>
      </c>
      <c r="E391" t="s">
        <v>62</v>
      </c>
      <c r="F391" t="s">
        <v>332</v>
      </c>
      <c r="G391" t="s">
        <v>252</v>
      </c>
      <c r="H391" t="s">
        <v>11</v>
      </c>
      <c r="I391">
        <v>5</v>
      </c>
      <c r="J391" t="s">
        <v>44</v>
      </c>
      <c r="K391">
        <f t="shared" si="6"/>
        <v>15</v>
      </c>
      <c r="L391" cm="1">
        <f t="array" ref="L391">IFERROR(SUMPRODUCT((COUNTIF($D$2:$D$648,$D$2:$D$648)&gt;COUNTIF($D$2:$D$648,D391))/COUNTIF($D$2:$D$648,$D$2:$D$648))+1,"")</f>
        <v>6.9999999999999947</v>
      </c>
    </row>
    <row r="392" spans="1:12" x14ac:dyDescent="0.3">
      <c r="A392" t="s">
        <v>183</v>
      </c>
      <c r="B392" s="3">
        <v>46357</v>
      </c>
      <c r="C392" t="s">
        <v>816</v>
      </c>
      <c r="D392" t="s">
        <v>76</v>
      </c>
      <c r="E392" t="s">
        <v>20</v>
      </c>
      <c r="F392" t="s">
        <v>635</v>
      </c>
      <c r="G392" t="s">
        <v>229</v>
      </c>
      <c r="H392" t="s">
        <v>11</v>
      </c>
      <c r="I392">
        <v>5</v>
      </c>
      <c r="J392" t="s">
        <v>51</v>
      </c>
      <c r="K392">
        <f t="shared" si="6"/>
        <v>11</v>
      </c>
      <c r="L392" cm="1">
        <f t="array" ref="L392">IFERROR(SUMPRODUCT((COUNTIF($D$2:$D$648,$D$2:$D$648)&gt;COUNTIF($D$2:$D$648,D392))/COUNTIF($D$2:$D$648,$D$2:$D$648))+1,"")</f>
        <v>11.999999999999961</v>
      </c>
    </row>
    <row r="393" spans="1:12" x14ac:dyDescent="0.3">
      <c r="A393" t="s">
        <v>183</v>
      </c>
      <c r="B393" s="3">
        <v>46357</v>
      </c>
      <c r="C393" t="s">
        <v>816</v>
      </c>
      <c r="D393" t="s">
        <v>184</v>
      </c>
      <c r="E393" t="s">
        <v>67</v>
      </c>
      <c r="F393" t="s">
        <v>636</v>
      </c>
      <c r="H393" t="s">
        <v>11</v>
      </c>
      <c r="I393">
        <v>5</v>
      </c>
      <c r="J393" t="s">
        <v>44</v>
      </c>
      <c r="K393">
        <f t="shared" si="6"/>
        <v>2</v>
      </c>
      <c r="L393" cm="1">
        <f t="array" ref="L393">IFERROR(SUMPRODUCT((COUNTIF($D$2:$D$648,$D$2:$D$648)&gt;COUNTIF($D$2:$D$648,D393))/COUNTIF($D$2:$D$648,$D$2:$D$648))+1,"")</f>
        <v>65.000000000000426</v>
      </c>
    </row>
    <row r="394" spans="1:12" x14ac:dyDescent="0.3">
      <c r="A394" t="s">
        <v>183</v>
      </c>
      <c r="B394" s="3">
        <v>46357</v>
      </c>
      <c r="C394" t="s">
        <v>816</v>
      </c>
      <c r="D394" t="s">
        <v>63</v>
      </c>
      <c r="E394" t="s">
        <v>17</v>
      </c>
      <c r="G394" t="s">
        <v>236</v>
      </c>
      <c r="H394" t="s">
        <v>11</v>
      </c>
      <c r="I394">
        <v>6</v>
      </c>
      <c r="J394" t="s">
        <v>47</v>
      </c>
      <c r="K394">
        <f t="shared" si="6"/>
        <v>8</v>
      </c>
      <c r="L394" cm="1">
        <f t="array" ref="L394">IFERROR(SUMPRODUCT((COUNTIF($D$2:$D$648,$D$2:$D$648)&gt;COUNTIF($D$2:$D$648,D394))/COUNTIF($D$2:$D$648,$D$2:$D$648))+1,"")</f>
        <v>24.999999999999957</v>
      </c>
    </row>
    <row r="395" spans="1:12" x14ac:dyDescent="0.3">
      <c r="A395" t="s">
        <v>183</v>
      </c>
      <c r="B395" s="3">
        <v>46359</v>
      </c>
      <c r="C395" t="s">
        <v>814</v>
      </c>
      <c r="D395" t="s">
        <v>13</v>
      </c>
      <c r="E395" t="s">
        <v>23</v>
      </c>
      <c r="F395" t="s">
        <v>595</v>
      </c>
      <c r="G395" t="s">
        <v>218</v>
      </c>
      <c r="H395" t="s">
        <v>11</v>
      </c>
      <c r="I395">
        <v>4</v>
      </c>
      <c r="J395" t="s">
        <v>30</v>
      </c>
      <c r="K395">
        <f t="shared" si="6"/>
        <v>47</v>
      </c>
      <c r="L395" cm="1">
        <f t="array" ref="L395">IFERROR(SUMPRODUCT((COUNTIF($D$2:$D$648,$D$2:$D$648)&gt;COUNTIF($D$2:$D$648,D395))/COUNTIF($D$2:$D$648,$D$2:$D$648))+1,"")</f>
        <v>1</v>
      </c>
    </row>
    <row r="396" spans="1:12" x14ac:dyDescent="0.3">
      <c r="A396" t="s">
        <v>183</v>
      </c>
      <c r="B396" s="3">
        <v>46359</v>
      </c>
      <c r="C396" t="s">
        <v>814</v>
      </c>
      <c r="D396" t="s">
        <v>76</v>
      </c>
      <c r="E396" t="s">
        <v>17</v>
      </c>
      <c r="F396" t="s">
        <v>637</v>
      </c>
      <c r="G396" t="s">
        <v>229</v>
      </c>
      <c r="H396" t="s">
        <v>11</v>
      </c>
      <c r="I396">
        <v>3</v>
      </c>
      <c r="J396" t="s">
        <v>54</v>
      </c>
      <c r="K396">
        <f t="shared" si="6"/>
        <v>11</v>
      </c>
      <c r="L396" cm="1">
        <f t="array" ref="L396">IFERROR(SUMPRODUCT((COUNTIF($D$2:$D$648,$D$2:$D$648)&gt;COUNTIF($D$2:$D$648,D396))/COUNTIF($D$2:$D$648,$D$2:$D$648))+1,"")</f>
        <v>11.999999999999961</v>
      </c>
    </row>
    <row r="397" spans="1:12" x14ac:dyDescent="0.3">
      <c r="A397" t="s">
        <v>183</v>
      </c>
      <c r="B397" s="3">
        <v>46359</v>
      </c>
      <c r="C397" t="s">
        <v>814</v>
      </c>
      <c r="D397" t="s">
        <v>88</v>
      </c>
      <c r="E397" t="s">
        <v>179</v>
      </c>
      <c r="F397" t="s">
        <v>333</v>
      </c>
      <c r="G397" t="s">
        <v>249</v>
      </c>
      <c r="H397" t="s">
        <v>11</v>
      </c>
      <c r="I397">
        <v>3</v>
      </c>
      <c r="J397" t="s">
        <v>54</v>
      </c>
      <c r="K397">
        <f t="shared" si="6"/>
        <v>12</v>
      </c>
      <c r="L397" cm="1">
        <f t="array" ref="L397">IFERROR(SUMPRODUCT((COUNTIF($D$2:$D$648,$D$2:$D$648)&gt;COUNTIF($D$2:$D$648,D397))/COUNTIF($D$2:$D$648,$D$2:$D$648))+1,"")</f>
        <v>10.999999999999973</v>
      </c>
    </row>
    <row r="398" spans="1:12" x14ac:dyDescent="0.3">
      <c r="A398" t="s">
        <v>183</v>
      </c>
      <c r="B398" s="3">
        <v>46360</v>
      </c>
      <c r="C398" t="s">
        <v>817</v>
      </c>
      <c r="D398" t="s">
        <v>113</v>
      </c>
      <c r="E398" t="s">
        <v>17</v>
      </c>
      <c r="F398" t="s">
        <v>638</v>
      </c>
      <c r="G398" t="s">
        <v>231</v>
      </c>
      <c r="H398" t="s">
        <v>11</v>
      </c>
      <c r="I398">
        <v>3</v>
      </c>
      <c r="J398" t="s">
        <v>59</v>
      </c>
      <c r="K398">
        <f t="shared" si="6"/>
        <v>4</v>
      </c>
      <c r="L398" cm="1">
        <f t="array" ref="L398">IFERROR(SUMPRODUCT((COUNTIF($D$2:$D$648,$D$2:$D$648)&gt;COUNTIF($D$2:$D$648,D398))/COUNTIF($D$2:$D$648,$D$2:$D$648))+1,"")</f>
        <v>52.000000000000306</v>
      </c>
    </row>
    <row r="399" spans="1:12" x14ac:dyDescent="0.3">
      <c r="A399" t="s">
        <v>183</v>
      </c>
      <c r="B399" s="3">
        <v>46360</v>
      </c>
      <c r="C399" t="s">
        <v>817</v>
      </c>
      <c r="D399" t="s">
        <v>141</v>
      </c>
      <c r="E399" t="s">
        <v>14</v>
      </c>
      <c r="F399" t="s">
        <v>639</v>
      </c>
      <c r="G399" t="s">
        <v>272</v>
      </c>
      <c r="H399" t="s">
        <v>11</v>
      </c>
      <c r="I399">
        <v>3</v>
      </c>
      <c r="J399" t="s">
        <v>37</v>
      </c>
      <c r="K399">
        <f t="shared" si="6"/>
        <v>4</v>
      </c>
      <c r="L399" cm="1">
        <f t="array" ref="L399">IFERROR(SUMPRODUCT((COUNTIF($D$2:$D$648,$D$2:$D$648)&gt;COUNTIF($D$2:$D$648,D399))/COUNTIF($D$2:$D$648,$D$2:$D$648))+1,"")</f>
        <v>52.000000000000306</v>
      </c>
    </row>
    <row r="400" spans="1:12" x14ac:dyDescent="0.3">
      <c r="A400" t="s">
        <v>183</v>
      </c>
      <c r="B400" s="3">
        <v>46360</v>
      </c>
      <c r="C400" t="s">
        <v>817</v>
      </c>
      <c r="D400" t="s">
        <v>185</v>
      </c>
      <c r="E400" t="s">
        <v>20</v>
      </c>
      <c r="F400" t="s">
        <v>640</v>
      </c>
      <c r="G400" t="s">
        <v>222</v>
      </c>
      <c r="H400" t="s">
        <v>11</v>
      </c>
      <c r="I400">
        <v>3</v>
      </c>
      <c r="J400" t="s">
        <v>35</v>
      </c>
      <c r="K400">
        <f t="shared" si="6"/>
        <v>2</v>
      </c>
      <c r="L400" cm="1">
        <f t="array" ref="L400">IFERROR(SUMPRODUCT((COUNTIF($D$2:$D$648,$D$2:$D$648)&gt;COUNTIF($D$2:$D$648,D400))/COUNTIF($D$2:$D$648,$D$2:$D$648))+1,"")</f>
        <v>65.000000000000426</v>
      </c>
    </row>
    <row r="401" spans="1:12" x14ac:dyDescent="0.3">
      <c r="A401" t="s">
        <v>183</v>
      </c>
      <c r="B401" s="3">
        <v>46360</v>
      </c>
      <c r="C401" t="s">
        <v>817</v>
      </c>
      <c r="D401" t="s">
        <v>76</v>
      </c>
      <c r="E401" t="s">
        <v>67</v>
      </c>
      <c r="F401" t="s">
        <v>641</v>
      </c>
      <c r="G401" t="s">
        <v>229</v>
      </c>
      <c r="H401" t="s">
        <v>11</v>
      </c>
      <c r="I401">
        <v>3</v>
      </c>
      <c r="J401" t="s">
        <v>59</v>
      </c>
      <c r="K401">
        <f t="shared" si="6"/>
        <v>11</v>
      </c>
      <c r="L401" cm="1">
        <f t="array" ref="L401">IFERROR(SUMPRODUCT((COUNTIF($D$2:$D$648,$D$2:$D$648)&gt;COUNTIF($D$2:$D$648,D401))/COUNTIF($D$2:$D$648,$D$2:$D$648))+1,"")</f>
        <v>11.999999999999961</v>
      </c>
    </row>
    <row r="402" spans="1:12" x14ac:dyDescent="0.3">
      <c r="A402" t="s">
        <v>183</v>
      </c>
      <c r="B402" s="3">
        <v>46360</v>
      </c>
      <c r="C402" t="s">
        <v>817</v>
      </c>
      <c r="D402" t="s">
        <v>69</v>
      </c>
      <c r="E402" t="s">
        <v>179</v>
      </c>
      <c r="F402" t="s">
        <v>334</v>
      </c>
      <c r="G402" t="s">
        <v>238</v>
      </c>
      <c r="H402" t="s">
        <v>11</v>
      </c>
      <c r="I402">
        <v>3</v>
      </c>
      <c r="J402" t="s">
        <v>37</v>
      </c>
      <c r="K402">
        <f t="shared" si="6"/>
        <v>17</v>
      </c>
      <c r="L402" cm="1">
        <f t="array" ref="L402">IFERROR(SUMPRODUCT((COUNTIF($D$2:$D$648,$D$2:$D$648)&gt;COUNTIF($D$2:$D$648,D402))/COUNTIF($D$2:$D$648,$D$2:$D$648))+1,"")</f>
        <v>5.9999999999999982</v>
      </c>
    </row>
    <row r="403" spans="1:12" x14ac:dyDescent="0.3">
      <c r="A403" t="s">
        <v>183</v>
      </c>
      <c r="B403" s="3">
        <v>46361</v>
      </c>
      <c r="C403" t="s">
        <v>815</v>
      </c>
      <c r="D403" t="s">
        <v>186</v>
      </c>
      <c r="E403" t="s">
        <v>14</v>
      </c>
      <c r="F403" t="s">
        <v>642</v>
      </c>
      <c r="G403" t="s">
        <v>242</v>
      </c>
      <c r="H403" t="s">
        <v>27</v>
      </c>
      <c r="I403">
        <v>5</v>
      </c>
      <c r="J403" t="s">
        <v>112</v>
      </c>
      <c r="K403">
        <f t="shared" si="6"/>
        <v>1</v>
      </c>
      <c r="L403" cm="1">
        <f t="array" ref="L403">IFERROR(SUMPRODUCT((COUNTIF($D$2:$D$648,$D$2:$D$648)&gt;COUNTIF($D$2:$D$648,D403))/COUNTIF($D$2:$D$648,$D$2:$D$648))+1,"")</f>
        <v>80.000000000000426</v>
      </c>
    </row>
    <row r="404" spans="1:12" x14ac:dyDescent="0.3">
      <c r="A404" t="s">
        <v>183</v>
      </c>
      <c r="B404" s="3">
        <v>46361</v>
      </c>
      <c r="C404" t="s">
        <v>815</v>
      </c>
      <c r="D404" t="s">
        <v>187</v>
      </c>
      <c r="E404" t="s">
        <v>23</v>
      </c>
      <c r="F404" t="s">
        <v>643</v>
      </c>
      <c r="G404" t="s">
        <v>248</v>
      </c>
      <c r="H404" t="s">
        <v>27</v>
      </c>
      <c r="I404">
        <v>5</v>
      </c>
      <c r="J404" t="s">
        <v>21</v>
      </c>
      <c r="K404">
        <f t="shared" si="6"/>
        <v>1</v>
      </c>
      <c r="L404" cm="1">
        <f t="array" ref="L404">IFERROR(SUMPRODUCT((COUNTIF($D$2:$D$648,$D$2:$D$648)&gt;COUNTIF($D$2:$D$648,D404))/COUNTIF($D$2:$D$648,$D$2:$D$648))+1,"")</f>
        <v>80.000000000000426</v>
      </c>
    </row>
    <row r="405" spans="1:12" x14ac:dyDescent="0.3">
      <c r="A405" t="s">
        <v>183</v>
      </c>
      <c r="B405" s="3">
        <v>46361</v>
      </c>
      <c r="C405" t="s">
        <v>815</v>
      </c>
      <c r="D405" t="s">
        <v>96</v>
      </c>
      <c r="E405" t="s">
        <v>84</v>
      </c>
      <c r="F405" t="s">
        <v>644</v>
      </c>
      <c r="G405" t="s">
        <v>255</v>
      </c>
      <c r="H405" t="s">
        <v>27</v>
      </c>
      <c r="I405">
        <v>5</v>
      </c>
      <c r="J405" t="s">
        <v>112</v>
      </c>
      <c r="K405">
        <f t="shared" si="6"/>
        <v>8</v>
      </c>
      <c r="L405" cm="1">
        <f t="array" ref="L405">IFERROR(SUMPRODUCT((COUNTIF($D$2:$D$648,$D$2:$D$648)&gt;COUNTIF($D$2:$D$648,D405))/COUNTIF($D$2:$D$648,$D$2:$D$648))+1,"")</f>
        <v>24.999999999999957</v>
      </c>
    </row>
    <row r="406" spans="1:12" x14ac:dyDescent="0.3">
      <c r="A406" t="s">
        <v>183</v>
      </c>
      <c r="B406" s="3">
        <v>46361</v>
      </c>
      <c r="C406" t="s">
        <v>815</v>
      </c>
      <c r="D406" t="s">
        <v>13</v>
      </c>
      <c r="E406" t="s">
        <v>23</v>
      </c>
      <c r="F406" t="s">
        <v>437</v>
      </c>
      <c r="G406" t="s">
        <v>218</v>
      </c>
      <c r="H406" t="s">
        <v>11</v>
      </c>
      <c r="I406">
        <v>7</v>
      </c>
      <c r="J406" t="s">
        <v>15</v>
      </c>
      <c r="K406">
        <f t="shared" si="6"/>
        <v>47</v>
      </c>
      <c r="L406" cm="1">
        <f t="array" ref="L406">IFERROR(SUMPRODUCT((COUNTIF($D$2:$D$648,$D$2:$D$648)&gt;COUNTIF($D$2:$D$648,D406))/COUNTIF($D$2:$D$648,$D$2:$D$648))+1,"")</f>
        <v>1</v>
      </c>
    </row>
    <row r="407" spans="1:12" x14ac:dyDescent="0.3">
      <c r="A407" t="s">
        <v>183</v>
      </c>
      <c r="B407" s="3">
        <v>46361</v>
      </c>
      <c r="C407" t="s">
        <v>815</v>
      </c>
      <c r="D407" t="s">
        <v>43</v>
      </c>
      <c r="E407" t="s">
        <v>20</v>
      </c>
      <c r="F407" t="s">
        <v>645</v>
      </c>
      <c r="G407" t="s">
        <v>252</v>
      </c>
      <c r="H407" t="s">
        <v>11</v>
      </c>
      <c r="I407">
        <v>5</v>
      </c>
      <c r="J407" t="s">
        <v>44</v>
      </c>
      <c r="K407">
        <f t="shared" si="6"/>
        <v>15</v>
      </c>
      <c r="L407" cm="1">
        <f t="array" ref="L407">IFERROR(SUMPRODUCT((COUNTIF($D$2:$D$648,$D$2:$D$648)&gt;COUNTIF($D$2:$D$648,D407))/COUNTIF($D$2:$D$648,$D$2:$D$648))+1,"")</f>
        <v>6.9999999999999947</v>
      </c>
    </row>
    <row r="408" spans="1:12" x14ac:dyDescent="0.3">
      <c r="A408" t="s">
        <v>183</v>
      </c>
      <c r="B408" s="3">
        <v>46361</v>
      </c>
      <c r="C408" t="s">
        <v>815</v>
      </c>
      <c r="D408" t="s">
        <v>97</v>
      </c>
      <c r="E408" t="s">
        <v>17</v>
      </c>
      <c r="F408" t="s">
        <v>646</v>
      </c>
      <c r="G408" t="s">
        <v>256</v>
      </c>
      <c r="H408" t="s">
        <v>11</v>
      </c>
      <c r="I408">
        <v>5</v>
      </c>
      <c r="J408" t="s">
        <v>90</v>
      </c>
      <c r="K408">
        <f t="shared" si="6"/>
        <v>13</v>
      </c>
      <c r="L408" cm="1">
        <f t="array" ref="L408">IFERROR(SUMPRODUCT((COUNTIF($D$2:$D$648,$D$2:$D$648)&gt;COUNTIF($D$2:$D$648,D408))/COUNTIF($D$2:$D$648,$D$2:$D$648))+1,"")</f>
        <v>7.999999999999992</v>
      </c>
    </row>
    <row r="409" spans="1:12" x14ac:dyDescent="0.3">
      <c r="A409" t="s">
        <v>183</v>
      </c>
      <c r="B409" s="3">
        <v>46364</v>
      </c>
      <c r="C409" t="s">
        <v>816</v>
      </c>
      <c r="D409" t="s">
        <v>149</v>
      </c>
      <c r="E409" t="s">
        <v>26</v>
      </c>
      <c r="F409" t="s">
        <v>335</v>
      </c>
      <c r="G409" t="s">
        <v>278</v>
      </c>
      <c r="H409" t="s">
        <v>27</v>
      </c>
      <c r="I409">
        <v>7</v>
      </c>
      <c r="J409" t="s">
        <v>15</v>
      </c>
      <c r="K409">
        <f t="shared" si="6"/>
        <v>6</v>
      </c>
      <c r="L409" cm="1">
        <f t="array" ref="L409">IFERROR(SUMPRODUCT((COUNTIF($D$2:$D$648,$D$2:$D$648)&gt;COUNTIF($D$2:$D$648,D409))/COUNTIF($D$2:$D$648,$D$2:$D$648))+1,"")</f>
        <v>39.000000000000114</v>
      </c>
    </row>
    <row r="410" spans="1:12" x14ac:dyDescent="0.3">
      <c r="A410" t="s">
        <v>183</v>
      </c>
      <c r="B410" s="3">
        <v>46364</v>
      </c>
      <c r="C410" t="s">
        <v>816</v>
      </c>
      <c r="D410" t="s">
        <v>129</v>
      </c>
      <c r="E410" t="s">
        <v>20</v>
      </c>
      <c r="F410" t="s">
        <v>647</v>
      </c>
      <c r="G410" t="s">
        <v>267</v>
      </c>
      <c r="H410" t="s">
        <v>11</v>
      </c>
      <c r="I410">
        <v>5</v>
      </c>
      <c r="J410" t="s">
        <v>49</v>
      </c>
      <c r="K410">
        <f t="shared" si="6"/>
        <v>5</v>
      </c>
      <c r="L410" cm="1">
        <f t="array" ref="L410">IFERROR(SUMPRODUCT((COUNTIF($D$2:$D$648,$D$2:$D$648)&gt;COUNTIF($D$2:$D$648,D410))/COUNTIF($D$2:$D$648,$D$2:$D$648))+1,"")</f>
        <v>43.000000000000199</v>
      </c>
    </row>
    <row r="411" spans="1:12" x14ac:dyDescent="0.3">
      <c r="A411" t="s">
        <v>183</v>
      </c>
      <c r="B411" s="3">
        <v>46364</v>
      </c>
      <c r="C411" t="s">
        <v>816</v>
      </c>
      <c r="D411" t="s">
        <v>97</v>
      </c>
      <c r="E411" t="s">
        <v>67</v>
      </c>
      <c r="F411" t="s">
        <v>648</v>
      </c>
      <c r="G411" t="s">
        <v>256</v>
      </c>
      <c r="H411" t="s">
        <v>11</v>
      </c>
      <c r="I411">
        <v>5</v>
      </c>
      <c r="J411" t="s">
        <v>90</v>
      </c>
      <c r="K411">
        <f t="shared" si="6"/>
        <v>13</v>
      </c>
      <c r="L411" cm="1">
        <f t="array" ref="L411">IFERROR(SUMPRODUCT((COUNTIF($D$2:$D$648,$D$2:$D$648)&gt;COUNTIF($D$2:$D$648,D411))/COUNTIF($D$2:$D$648,$D$2:$D$648))+1,"")</f>
        <v>7.999999999999992</v>
      </c>
    </row>
    <row r="412" spans="1:12" x14ac:dyDescent="0.3">
      <c r="A412" t="s">
        <v>183</v>
      </c>
      <c r="B412" s="3">
        <v>46364</v>
      </c>
      <c r="C412" t="s">
        <v>816</v>
      </c>
      <c r="D412" t="s">
        <v>134</v>
      </c>
      <c r="E412" t="s">
        <v>157</v>
      </c>
      <c r="F412" t="s">
        <v>336</v>
      </c>
      <c r="G412" t="s">
        <v>269</v>
      </c>
      <c r="H412" t="s">
        <v>11</v>
      </c>
      <c r="I412">
        <v>5</v>
      </c>
      <c r="J412" t="s">
        <v>135</v>
      </c>
      <c r="K412">
        <f t="shared" si="6"/>
        <v>3</v>
      </c>
      <c r="L412" cm="1">
        <f t="array" ref="L412">IFERROR(SUMPRODUCT((COUNTIF($D$2:$D$648,$D$2:$D$648)&gt;COUNTIF($D$2:$D$648,D412))/COUNTIF($D$2:$D$648,$D$2:$D$648))+1,"")</f>
        <v>58.000000000000348</v>
      </c>
    </row>
    <row r="413" spans="1:12" x14ac:dyDescent="0.3">
      <c r="A413" t="s">
        <v>183</v>
      </c>
      <c r="B413" s="3">
        <v>46364</v>
      </c>
      <c r="C413" t="s">
        <v>816</v>
      </c>
      <c r="D413" t="s">
        <v>105</v>
      </c>
      <c r="E413" t="s">
        <v>17</v>
      </c>
      <c r="F413" t="s">
        <v>649</v>
      </c>
      <c r="G413" t="s">
        <v>259</v>
      </c>
      <c r="H413" t="s">
        <v>11</v>
      </c>
      <c r="I413">
        <v>5</v>
      </c>
      <c r="J413" t="s">
        <v>12</v>
      </c>
      <c r="K413">
        <f t="shared" si="6"/>
        <v>20</v>
      </c>
      <c r="L413" cm="1">
        <f t="array" ref="L413">IFERROR(SUMPRODUCT((COUNTIF($D$2:$D$648,$D$2:$D$648)&gt;COUNTIF($D$2:$D$648,D413))/COUNTIF($D$2:$D$648,$D$2:$D$648))+1,"")</f>
        <v>3.0000000000000009</v>
      </c>
    </row>
    <row r="414" spans="1:12" x14ac:dyDescent="0.3">
      <c r="A414" t="s">
        <v>183</v>
      </c>
      <c r="B414" s="3">
        <v>46364</v>
      </c>
      <c r="C414" t="s">
        <v>816</v>
      </c>
      <c r="D414" t="s">
        <v>42</v>
      </c>
      <c r="E414" t="s">
        <v>14</v>
      </c>
      <c r="F414" t="s">
        <v>650</v>
      </c>
      <c r="G414" t="s">
        <v>225</v>
      </c>
      <c r="H414" t="s">
        <v>11</v>
      </c>
      <c r="I414">
        <v>7</v>
      </c>
      <c r="J414" t="s">
        <v>15</v>
      </c>
      <c r="K414">
        <f t="shared" si="6"/>
        <v>5</v>
      </c>
      <c r="L414" cm="1">
        <f t="array" ref="L414">IFERROR(SUMPRODUCT((COUNTIF($D$2:$D$648,$D$2:$D$648)&gt;COUNTIF($D$2:$D$648,D414))/COUNTIF($D$2:$D$648,$D$2:$D$648))+1,"")</f>
        <v>43.000000000000199</v>
      </c>
    </row>
    <row r="415" spans="1:12" x14ac:dyDescent="0.3">
      <c r="A415" t="s">
        <v>183</v>
      </c>
      <c r="B415" s="3">
        <v>46365</v>
      </c>
      <c r="C415" t="s">
        <v>812</v>
      </c>
      <c r="D415" t="s">
        <v>13</v>
      </c>
      <c r="E415" t="s">
        <v>23</v>
      </c>
      <c r="F415" t="s">
        <v>595</v>
      </c>
      <c r="G415" t="s">
        <v>218</v>
      </c>
      <c r="H415" t="s">
        <v>11</v>
      </c>
      <c r="I415">
        <v>7</v>
      </c>
      <c r="J415" t="s">
        <v>15</v>
      </c>
      <c r="K415">
        <f t="shared" si="6"/>
        <v>47</v>
      </c>
      <c r="L415" cm="1">
        <f t="array" ref="L415">IFERROR(SUMPRODUCT((COUNTIF($D$2:$D$648,$D$2:$D$648)&gt;COUNTIF($D$2:$D$648,D415))/COUNTIF($D$2:$D$648,$D$2:$D$648))+1,"")</f>
        <v>1</v>
      </c>
    </row>
    <row r="416" spans="1:12" x14ac:dyDescent="0.3">
      <c r="A416" t="s">
        <v>183</v>
      </c>
      <c r="B416" s="3">
        <v>46365</v>
      </c>
      <c r="C416" t="s">
        <v>812</v>
      </c>
      <c r="D416" t="s">
        <v>69</v>
      </c>
      <c r="E416" t="s">
        <v>67</v>
      </c>
      <c r="F416" t="s">
        <v>651</v>
      </c>
      <c r="G416" t="s">
        <v>238</v>
      </c>
      <c r="H416" t="s">
        <v>11</v>
      </c>
      <c r="I416">
        <v>5</v>
      </c>
      <c r="J416" t="s">
        <v>12</v>
      </c>
      <c r="K416">
        <f t="shared" si="6"/>
        <v>17</v>
      </c>
      <c r="L416" cm="1">
        <f t="array" ref="L416">IFERROR(SUMPRODUCT((COUNTIF($D$2:$D$648,$D$2:$D$648)&gt;COUNTIF($D$2:$D$648,D416))/COUNTIF($D$2:$D$648,$D$2:$D$648))+1,"")</f>
        <v>5.9999999999999982</v>
      </c>
    </row>
    <row r="417" spans="1:12" x14ac:dyDescent="0.3">
      <c r="A417" t="s">
        <v>183</v>
      </c>
      <c r="B417" s="3">
        <v>46365</v>
      </c>
      <c r="C417" t="s">
        <v>812</v>
      </c>
      <c r="D417" t="s">
        <v>113</v>
      </c>
      <c r="E417" t="s">
        <v>14</v>
      </c>
      <c r="F417" t="s">
        <v>652</v>
      </c>
      <c r="G417" t="s">
        <v>231</v>
      </c>
      <c r="H417" t="s">
        <v>11</v>
      </c>
      <c r="I417">
        <v>5</v>
      </c>
      <c r="J417" t="s">
        <v>51</v>
      </c>
      <c r="K417">
        <f t="shared" si="6"/>
        <v>4</v>
      </c>
      <c r="L417" cm="1">
        <f t="array" ref="L417">IFERROR(SUMPRODUCT((COUNTIF($D$2:$D$648,$D$2:$D$648)&gt;COUNTIF($D$2:$D$648,D417))/COUNTIF($D$2:$D$648,$D$2:$D$648))+1,"")</f>
        <v>52.000000000000306</v>
      </c>
    </row>
    <row r="418" spans="1:12" x14ac:dyDescent="0.3">
      <c r="A418" t="s">
        <v>183</v>
      </c>
      <c r="B418" s="3">
        <v>46365</v>
      </c>
      <c r="C418" t="s">
        <v>812</v>
      </c>
      <c r="D418" t="s">
        <v>129</v>
      </c>
      <c r="E418" t="s">
        <v>20</v>
      </c>
      <c r="F418" t="s">
        <v>647</v>
      </c>
      <c r="G418" t="s">
        <v>267</v>
      </c>
      <c r="H418" t="s">
        <v>11</v>
      </c>
      <c r="I418">
        <v>5</v>
      </c>
      <c r="J418" t="s">
        <v>49</v>
      </c>
      <c r="K418">
        <f t="shared" si="6"/>
        <v>5</v>
      </c>
      <c r="L418" cm="1">
        <f t="array" ref="L418">IFERROR(SUMPRODUCT((COUNTIF($D$2:$D$648,$D$2:$D$648)&gt;COUNTIF($D$2:$D$648,D418))/COUNTIF($D$2:$D$648,$D$2:$D$648))+1,"")</f>
        <v>43.000000000000199</v>
      </c>
    </row>
    <row r="419" spans="1:12" x14ac:dyDescent="0.3">
      <c r="A419" t="s">
        <v>183</v>
      </c>
      <c r="B419" s="3">
        <v>46365</v>
      </c>
      <c r="C419" t="s">
        <v>812</v>
      </c>
      <c r="D419" t="s">
        <v>105</v>
      </c>
      <c r="E419" t="s">
        <v>188</v>
      </c>
      <c r="F419" t="s">
        <v>337</v>
      </c>
      <c r="G419" t="s">
        <v>259</v>
      </c>
      <c r="H419" t="s">
        <v>11</v>
      </c>
      <c r="I419">
        <v>5</v>
      </c>
      <c r="J419" t="s">
        <v>12</v>
      </c>
      <c r="K419">
        <f t="shared" si="6"/>
        <v>20</v>
      </c>
      <c r="L419" cm="1">
        <f t="array" ref="L419">IFERROR(SUMPRODUCT((COUNTIF($D$2:$D$648,$D$2:$D$648)&gt;COUNTIF($D$2:$D$648,D419))/COUNTIF($D$2:$D$648,$D$2:$D$648))+1,"")</f>
        <v>3.0000000000000009</v>
      </c>
    </row>
    <row r="420" spans="1:12" x14ac:dyDescent="0.3">
      <c r="A420" t="s">
        <v>183</v>
      </c>
      <c r="B420" s="3">
        <v>46366</v>
      </c>
      <c r="C420" t="s">
        <v>814</v>
      </c>
      <c r="D420" t="s">
        <v>13</v>
      </c>
      <c r="E420" t="s">
        <v>23</v>
      </c>
      <c r="F420" t="s">
        <v>595</v>
      </c>
      <c r="G420" t="s">
        <v>218</v>
      </c>
      <c r="H420" t="s">
        <v>11</v>
      </c>
      <c r="I420">
        <v>4</v>
      </c>
      <c r="J420" t="s">
        <v>30</v>
      </c>
      <c r="K420">
        <f t="shared" si="6"/>
        <v>47</v>
      </c>
      <c r="L420" cm="1">
        <f t="array" ref="L420">IFERROR(SUMPRODUCT((COUNTIF($D$2:$D$648,$D$2:$D$648)&gt;COUNTIF($D$2:$D$648,D420))/COUNTIF($D$2:$D$648,$D$2:$D$648))+1,"")</f>
        <v>1</v>
      </c>
    </row>
    <row r="421" spans="1:12" x14ac:dyDescent="0.3">
      <c r="A421" t="s">
        <v>183</v>
      </c>
      <c r="B421" s="3">
        <v>46366</v>
      </c>
      <c r="C421" t="s">
        <v>814</v>
      </c>
      <c r="D421" t="s">
        <v>189</v>
      </c>
      <c r="E421" t="s">
        <v>23</v>
      </c>
      <c r="F421" t="s">
        <v>653</v>
      </c>
      <c r="G421" t="s">
        <v>256</v>
      </c>
      <c r="H421" t="s">
        <v>11</v>
      </c>
      <c r="I421">
        <v>4</v>
      </c>
      <c r="J421" t="s">
        <v>30</v>
      </c>
      <c r="K421">
        <f t="shared" si="6"/>
        <v>1</v>
      </c>
      <c r="L421" cm="1">
        <f t="array" ref="L421">IFERROR(SUMPRODUCT((COUNTIF($D$2:$D$648,$D$2:$D$648)&gt;COUNTIF($D$2:$D$648,D421))/COUNTIF($D$2:$D$648,$D$2:$D$648))+1,"")</f>
        <v>80.000000000000426</v>
      </c>
    </row>
    <row r="422" spans="1:12" x14ac:dyDescent="0.3">
      <c r="A422" t="s">
        <v>183</v>
      </c>
      <c r="B422" s="3">
        <v>46366</v>
      </c>
      <c r="C422" t="s">
        <v>814</v>
      </c>
      <c r="D422" t="s">
        <v>152</v>
      </c>
      <c r="E422" t="s">
        <v>20</v>
      </c>
      <c r="F422" t="s">
        <v>654</v>
      </c>
      <c r="G422" t="s">
        <v>258</v>
      </c>
      <c r="H422" t="s">
        <v>11</v>
      </c>
      <c r="I422">
        <v>4</v>
      </c>
      <c r="J422" t="s">
        <v>30</v>
      </c>
      <c r="K422">
        <f t="shared" si="6"/>
        <v>7</v>
      </c>
      <c r="L422" cm="1">
        <f t="array" ref="L422">IFERROR(SUMPRODUCT((COUNTIF($D$2:$D$648,$D$2:$D$648)&gt;COUNTIF($D$2:$D$648,D422))/COUNTIF($D$2:$D$648,$D$2:$D$648))+1,"")</f>
        <v>31.999999999999968</v>
      </c>
    </row>
    <row r="423" spans="1:12" x14ac:dyDescent="0.3">
      <c r="A423" t="s">
        <v>183</v>
      </c>
      <c r="B423" s="3">
        <v>46366</v>
      </c>
      <c r="C423" t="s">
        <v>814</v>
      </c>
      <c r="D423" t="s">
        <v>19</v>
      </c>
      <c r="E423" t="s">
        <v>67</v>
      </c>
      <c r="F423" t="s">
        <v>655</v>
      </c>
      <c r="G423" t="s">
        <v>220</v>
      </c>
      <c r="H423" t="s">
        <v>11</v>
      </c>
      <c r="I423">
        <v>4</v>
      </c>
      <c r="J423" t="s">
        <v>30</v>
      </c>
      <c r="K423">
        <f t="shared" si="6"/>
        <v>8</v>
      </c>
      <c r="L423" cm="1">
        <f t="array" ref="L423">IFERROR(SUMPRODUCT((COUNTIF($D$2:$D$648,$D$2:$D$648)&gt;COUNTIF($D$2:$D$648,D423))/COUNTIF($D$2:$D$648,$D$2:$D$648))+1,"")</f>
        <v>24.999999999999957</v>
      </c>
    </row>
    <row r="424" spans="1:12" x14ac:dyDescent="0.3">
      <c r="A424" t="s">
        <v>183</v>
      </c>
      <c r="B424" s="3">
        <v>46366</v>
      </c>
      <c r="C424" t="s">
        <v>814</v>
      </c>
      <c r="D424" t="s">
        <v>110</v>
      </c>
      <c r="E424" t="s">
        <v>17</v>
      </c>
      <c r="F424" t="s">
        <v>656</v>
      </c>
      <c r="G424" t="s">
        <v>262</v>
      </c>
      <c r="H424" t="s">
        <v>11</v>
      </c>
      <c r="I424">
        <v>4</v>
      </c>
      <c r="J424" t="s">
        <v>30</v>
      </c>
      <c r="K424">
        <f t="shared" si="6"/>
        <v>11</v>
      </c>
      <c r="L424" cm="1">
        <f t="array" ref="L424">IFERROR(SUMPRODUCT((COUNTIF($D$2:$D$648,$D$2:$D$648)&gt;COUNTIF($D$2:$D$648,D424))/COUNTIF($D$2:$D$648,$D$2:$D$648))+1,"")</f>
        <v>11.999999999999961</v>
      </c>
    </row>
    <row r="425" spans="1:12" x14ac:dyDescent="0.3">
      <c r="A425" t="s">
        <v>183</v>
      </c>
      <c r="B425" s="3">
        <v>46366</v>
      </c>
      <c r="C425" t="s">
        <v>814</v>
      </c>
      <c r="D425" t="s">
        <v>16</v>
      </c>
      <c r="E425" t="s">
        <v>84</v>
      </c>
      <c r="F425" t="s">
        <v>657</v>
      </c>
      <c r="G425" t="s">
        <v>219</v>
      </c>
      <c r="H425" t="s">
        <v>11</v>
      </c>
      <c r="I425">
        <v>4</v>
      </c>
      <c r="J425" t="s">
        <v>30</v>
      </c>
      <c r="K425">
        <f t="shared" si="6"/>
        <v>10</v>
      </c>
      <c r="L425" cm="1">
        <f t="array" ref="L425">IFERROR(SUMPRODUCT((COUNTIF($D$2:$D$648,$D$2:$D$648)&gt;COUNTIF($D$2:$D$648,D425))/COUNTIF($D$2:$D$648,$D$2:$D$648))+1,"")</f>
        <v>17.999999999999975</v>
      </c>
    </row>
    <row r="426" spans="1:12" x14ac:dyDescent="0.3">
      <c r="A426" t="s">
        <v>183</v>
      </c>
      <c r="B426" s="3">
        <v>46367</v>
      </c>
      <c r="C426" t="s">
        <v>817</v>
      </c>
      <c r="D426" t="s">
        <v>33</v>
      </c>
      <c r="E426" t="s">
        <v>166</v>
      </c>
      <c r="F426" t="s">
        <v>338</v>
      </c>
      <c r="G426" t="s">
        <v>224</v>
      </c>
      <c r="H426" t="s">
        <v>11</v>
      </c>
      <c r="I426">
        <v>3</v>
      </c>
      <c r="J426" t="s">
        <v>59</v>
      </c>
      <c r="K426">
        <f t="shared" si="6"/>
        <v>10</v>
      </c>
      <c r="L426" cm="1">
        <f t="array" ref="L426">IFERROR(SUMPRODUCT((COUNTIF($D$2:$D$648,$D$2:$D$648)&gt;COUNTIF($D$2:$D$648,D426))/COUNTIF($D$2:$D$648,$D$2:$D$648))+1,"")</f>
        <v>17.999999999999975</v>
      </c>
    </row>
    <row r="427" spans="1:12" x14ac:dyDescent="0.3">
      <c r="A427" t="s">
        <v>183</v>
      </c>
      <c r="B427" s="3">
        <v>46367</v>
      </c>
      <c r="C427" t="s">
        <v>817</v>
      </c>
      <c r="D427" t="s">
        <v>74</v>
      </c>
      <c r="E427" t="s">
        <v>17</v>
      </c>
      <c r="F427" t="s">
        <v>658</v>
      </c>
      <c r="G427" t="s">
        <v>241</v>
      </c>
      <c r="H427" t="s">
        <v>11</v>
      </c>
      <c r="I427">
        <v>4</v>
      </c>
      <c r="J427" t="s">
        <v>40</v>
      </c>
      <c r="K427">
        <f t="shared" si="6"/>
        <v>9</v>
      </c>
      <c r="L427" cm="1">
        <f t="array" ref="L427">IFERROR(SUMPRODUCT((COUNTIF($D$2:$D$648,$D$2:$D$648)&gt;COUNTIF($D$2:$D$648,D427))/COUNTIF($D$2:$D$648,$D$2:$D$648))+1,"")</f>
        <v>21.999999999999968</v>
      </c>
    </row>
    <row r="428" spans="1:12" x14ac:dyDescent="0.3">
      <c r="A428" t="s">
        <v>183</v>
      </c>
      <c r="B428" s="3">
        <v>46367</v>
      </c>
      <c r="C428" t="s">
        <v>817</v>
      </c>
      <c r="D428" t="s">
        <v>105</v>
      </c>
      <c r="E428" t="s">
        <v>14</v>
      </c>
      <c r="F428" t="s">
        <v>659</v>
      </c>
      <c r="G428" t="s">
        <v>259</v>
      </c>
      <c r="H428" t="s">
        <v>11</v>
      </c>
      <c r="I428">
        <v>4</v>
      </c>
      <c r="J428" t="s">
        <v>40</v>
      </c>
      <c r="K428">
        <f t="shared" si="6"/>
        <v>20</v>
      </c>
      <c r="L428" cm="1">
        <f t="array" ref="L428">IFERROR(SUMPRODUCT((COUNTIF($D$2:$D$648,$D$2:$D$648)&gt;COUNTIF($D$2:$D$648,D428))/COUNTIF($D$2:$D$648,$D$2:$D$648))+1,"")</f>
        <v>3.0000000000000009</v>
      </c>
    </row>
    <row r="429" spans="1:12" x14ac:dyDescent="0.3">
      <c r="A429" t="s">
        <v>183</v>
      </c>
      <c r="B429" s="3">
        <v>46367</v>
      </c>
      <c r="C429" t="s">
        <v>817</v>
      </c>
      <c r="D429" t="s">
        <v>124</v>
      </c>
      <c r="E429" t="s">
        <v>14</v>
      </c>
      <c r="F429" t="s">
        <v>660</v>
      </c>
      <c r="G429" t="s">
        <v>225</v>
      </c>
      <c r="H429" t="s">
        <v>11</v>
      </c>
      <c r="I429">
        <v>4</v>
      </c>
      <c r="J429" t="s">
        <v>40</v>
      </c>
      <c r="K429">
        <f t="shared" si="6"/>
        <v>4</v>
      </c>
      <c r="L429" cm="1">
        <f t="array" ref="L429">IFERROR(SUMPRODUCT((COUNTIF($D$2:$D$648,$D$2:$D$648)&gt;COUNTIF($D$2:$D$648,D429))/COUNTIF($D$2:$D$648,$D$2:$D$648))+1,"")</f>
        <v>52.000000000000306</v>
      </c>
    </row>
    <row r="430" spans="1:12" x14ac:dyDescent="0.3">
      <c r="A430" t="s">
        <v>183</v>
      </c>
      <c r="B430" s="3">
        <v>46367</v>
      </c>
      <c r="C430" t="s">
        <v>817</v>
      </c>
      <c r="D430" t="s">
        <v>19</v>
      </c>
      <c r="E430" t="s">
        <v>20</v>
      </c>
      <c r="F430" t="s">
        <v>661</v>
      </c>
      <c r="G430" t="s">
        <v>220</v>
      </c>
      <c r="H430" t="s">
        <v>11</v>
      </c>
      <c r="I430">
        <v>4</v>
      </c>
      <c r="J430" t="s">
        <v>40</v>
      </c>
      <c r="K430">
        <f t="shared" si="6"/>
        <v>8</v>
      </c>
      <c r="L430" cm="1">
        <f t="array" ref="L430">IFERROR(SUMPRODUCT((COUNTIF($D$2:$D$648,$D$2:$D$648)&gt;COUNTIF($D$2:$D$648,D430))/COUNTIF($D$2:$D$648,$D$2:$D$648))+1,"")</f>
        <v>24.999999999999957</v>
      </c>
    </row>
    <row r="431" spans="1:12" x14ac:dyDescent="0.3">
      <c r="A431" t="s">
        <v>183</v>
      </c>
      <c r="B431" s="3">
        <v>46367</v>
      </c>
      <c r="C431" t="s">
        <v>817</v>
      </c>
      <c r="D431" t="s">
        <v>16</v>
      </c>
      <c r="E431" t="s">
        <v>67</v>
      </c>
      <c r="F431" t="s">
        <v>657</v>
      </c>
      <c r="G431" t="s">
        <v>219</v>
      </c>
      <c r="H431" t="s">
        <v>11</v>
      </c>
      <c r="I431">
        <v>4</v>
      </c>
      <c r="J431" t="s">
        <v>40</v>
      </c>
      <c r="K431">
        <f t="shared" si="6"/>
        <v>10</v>
      </c>
      <c r="L431" cm="1">
        <f t="array" ref="L431">IFERROR(SUMPRODUCT((COUNTIF($D$2:$D$648,$D$2:$D$648)&gt;COUNTIF($D$2:$D$648,D431))/COUNTIF($D$2:$D$648,$D$2:$D$648))+1,"")</f>
        <v>17.999999999999975</v>
      </c>
    </row>
    <row r="432" spans="1:12" x14ac:dyDescent="0.3">
      <c r="A432" t="s">
        <v>183</v>
      </c>
      <c r="B432" s="3">
        <v>46367</v>
      </c>
      <c r="C432" t="s">
        <v>817</v>
      </c>
      <c r="D432" t="s">
        <v>73</v>
      </c>
      <c r="E432" t="s">
        <v>67</v>
      </c>
      <c r="H432" t="s">
        <v>11</v>
      </c>
      <c r="I432">
        <v>4</v>
      </c>
      <c r="J432" t="s">
        <v>40</v>
      </c>
      <c r="K432">
        <f t="shared" si="6"/>
        <v>11</v>
      </c>
      <c r="L432" cm="1">
        <f t="array" ref="L432">IFERROR(SUMPRODUCT((COUNTIF($D$2:$D$648,$D$2:$D$648)&gt;COUNTIF($D$2:$D$648,D432))/COUNTIF($D$2:$D$648,$D$2:$D$648))+1,"")</f>
        <v>11.999999999999961</v>
      </c>
    </row>
    <row r="433" spans="1:12" x14ac:dyDescent="0.3">
      <c r="A433" t="s">
        <v>183</v>
      </c>
      <c r="B433" s="3">
        <v>46367</v>
      </c>
      <c r="C433" t="s">
        <v>817</v>
      </c>
      <c r="D433" t="s">
        <v>129</v>
      </c>
      <c r="E433" t="s">
        <v>23</v>
      </c>
      <c r="F433" t="s">
        <v>662</v>
      </c>
      <c r="G433" t="s">
        <v>267</v>
      </c>
      <c r="H433" t="s">
        <v>11</v>
      </c>
      <c r="I433">
        <v>4</v>
      </c>
      <c r="J433" t="s">
        <v>40</v>
      </c>
      <c r="K433">
        <f t="shared" si="6"/>
        <v>5</v>
      </c>
      <c r="L433" cm="1">
        <f t="array" ref="L433">IFERROR(SUMPRODUCT((COUNTIF($D$2:$D$648,$D$2:$D$648)&gt;COUNTIF($D$2:$D$648,D433))/COUNTIF($D$2:$D$648,$D$2:$D$648))+1,"")</f>
        <v>43.000000000000199</v>
      </c>
    </row>
    <row r="434" spans="1:12" x14ac:dyDescent="0.3">
      <c r="A434" t="s">
        <v>183</v>
      </c>
      <c r="B434" s="3">
        <v>46367</v>
      </c>
      <c r="C434" t="s">
        <v>817</v>
      </c>
      <c r="D434" t="s">
        <v>190</v>
      </c>
      <c r="E434" t="s">
        <v>84</v>
      </c>
      <c r="F434" t="s">
        <v>663</v>
      </c>
      <c r="G434" t="s">
        <v>282</v>
      </c>
      <c r="H434" t="s">
        <v>11</v>
      </c>
      <c r="I434">
        <v>4</v>
      </c>
      <c r="J434" t="s">
        <v>40</v>
      </c>
      <c r="K434">
        <f t="shared" si="6"/>
        <v>1</v>
      </c>
      <c r="L434" cm="1">
        <f t="array" ref="L434">IFERROR(SUMPRODUCT((COUNTIF($D$2:$D$648,$D$2:$D$648)&gt;COUNTIF($D$2:$D$648,D434))/COUNTIF($D$2:$D$648,$D$2:$D$648))+1,"")</f>
        <v>80.000000000000426</v>
      </c>
    </row>
    <row r="435" spans="1:12" x14ac:dyDescent="0.3">
      <c r="A435" t="s">
        <v>183</v>
      </c>
      <c r="B435" s="3">
        <v>46368</v>
      </c>
      <c r="C435" t="s">
        <v>815</v>
      </c>
      <c r="D435" t="s">
        <v>141</v>
      </c>
      <c r="E435" t="s">
        <v>67</v>
      </c>
      <c r="F435" t="s">
        <v>664</v>
      </c>
      <c r="G435" t="s">
        <v>272</v>
      </c>
      <c r="H435" t="s">
        <v>27</v>
      </c>
      <c r="I435">
        <v>7</v>
      </c>
      <c r="J435" t="s">
        <v>15</v>
      </c>
      <c r="K435">
        <f t="shared" si="6"/>
        <v>4</v>
      </c>
      <c r="L435" cm="1">
        <f t="array" ref="L435">IFERROR(SUMPRODUCT((COUNTIF($D$2:$D$648,$D$2:$D$648)&gt;COUNTIF($D$2:$D$648,D435))/COUNTIF($D$2:$D$648,$D$2:$D$648))+1,"")</f>
        <v>52.000000000000306</v>
      </c>
    </row>
    <row r="436" spans="1:12" x14ac:dyDescent="0.3">
      <c r="A436" t="s">
        <v>183</v>
      </c>
      <c r="B436" s="3">
        <v>46368</v>
      </c>
      <c r="C436" t="s">
        <v>815</v>
      </c>
      <c r="D436" t="s">
        <v>191</v>
      </c>
      <c r="E436" t="s">
        <v>179</v>
      </c>
      <c r="F436" t="s">
        <v>339</v>
      </c>
      <c r="H436" t="s">
        <v>27</v>
      </c>
      <c r="I436">
        <v>7</v>
      </c>
      <c r="J436" t="s">
        <v>15</v>
      </c>
      <c r="K436">
        <f t="shared" si="6"/>
        <v>1</v>
      </c>
      <c r="L436" cm="1">
        <f t="array" ref="L436">IFERROR(SUMPRODUCT((COUNTIF($D$2:$D$648,$D$2:$D$648)&gt;COUNTIF($D$2:$D$648,D436))/COUNTIF($D$2:$D$648,$D$2:$D$648))+1,"")</f>
        <v>80.000000000000426</v>
      </c>
    </row>
    <row r="437" spans="1:12" x14ac:dyDescent="0.3">
      <c r="A437" t="s">
        <v>183</v>
      </c>
      <c r="B437" s="3">
        <v>46368</v>
      </c>
      <c r="C437" t="s">
        <v>815</v>
      </c>
      <c r="D437" t="s">
        <v>13</v>
      </c>
      <c r="E437" t="s">
        <v>23</v>
      </c>
      <c r="F437" t="s">
        <v>437</v>
      </c>
      <c r="G437" t="s">
        <v>218</v>
      </c>
      <c r="H437" t="s">
        <v>11</v>
      </c>
      <c r="I437">
        <v>7</v>
      </c>
      <c r="J437" t="s">
        <v>15</v>
      </c>
      <c r="K437">
        <f t="shared" si="6"/>
        <v>47</v>
      </c>
      <c r="L437" cm="1">
        <f t="array" ref="L437">IFERROR(SUMPRODUCT((COUNTIF($D$2:$D$648,$D$2:$D$648)&gt;COUNTIF($D$2:$D$648,D437))/COUNTIF($D$2:$D$648,$D$2:$D$648))+1,"")</f>
        <v>1</v>
      </c>
    </row>
    <row r="438" spans="1:12" x14ac:dyDescent="0.3">
      <c r="A438" t="s">
        <v>183</v>
      </c>
      <c r="B438" s="3">
        <v>46368</v>
      </c>
      <c r="C438" t="s">
        <v>815</v>
      </c>
      <c r="D438" t="s">
        <v>192</v>
      </c>
      <c r="E438" t="s">
        <v>23</v>
      </c>
      <c r="F438" t="s">
        <v>665</v>
      </c>
      <c r="G438" t="s">
        <v>257</v>
      </c>
      <c r="H438" t="s">
        <v>11</v>
      </c>
      <c r="I438">
        <v>7</v>
      </c>
      <c r="J438" t="s">
        <v>15</v>
      </c>
      <c r="K438">
        <f t="shared" si="6"/>
        <v>1</v>
      </c>
      <c r="L438" cm="1">
        <f t="array" ref="L438">IFERROR(SUMPRODUCT((COUNTIF($D$2:$D$648,$D$2:$D$648)&gt;COUNTIF($D$2:$D$648,D438))/COUNTIF($D$2:$D$648,$D$2:$D$648))+1,"")</f>
        <v>80.000000000000426</v>
      </c>
    </row>
    <row r="439" spans="1:12" x14ac:dyDescent="0.3">
      <c r="A439" t="s">
        <v>183</v>
      </c>
      <c r="B439" s="3">
        <v>46368</v>
      </c>
      <c r="C439" t="s">
        <v>815</v>
      </c>
      <c r="D439" t="s">
        <v>33</v>
      </c>
      <c r="E439" t="s">
        <v>14</v>
      </c>
      <c r="F439" t="s">
        <v>666</v>
      </c>
      <c r="G439" t="s">
        <v>224</v>
      </c>
      <c r="H439" t="s">
        <v>11</v>
      </c>
      <c r="I439">
        <v>7</v>
      </c>
      <c r="J439" t="s">
        <v>15</v>
      </c>
      <c r="K439">
        <f t="shared" si="6"/>
        <v>10</v>
      </c>
      <c r="L439" cm="1">
        <f t="array" ref="L439">IFERROR(SUMPRODUCT((COUNTIF($D$2:$D$648,$D$2:$D$648)&gt;COUNTIF($D$2:$D$648,D439))/COUNTIF($D$2:$D$648,$D$2:$D$648))+1,"")</f>
        <v>17.999999999999975</v>
      </c>
    </row>
    <row r="440" spans="1:12" x14ac:dyDescent="0.3">
      <c r="A440" t="s">
        <v>183</v>
      </c>
      <c r="B440" s="3">
        <v>46368</v>
      </c>
      <c r="C440" t="s">
        <v>815</v>
      </c>
      <c r="D440" t="s">
        <v>74</v>
      </c>
      <c r="E440" t="s">
        <v>20</v>
      </c>
      <c r="F440" t="s">
        <v>658</v>
      </c>
      <c r="G440" t="s">
        <v>241</v>
      </c>
      <c r="H440" t="s">
        <v>11</v>
      </c>
      <c r="I440">
        <v>7</v>
      </c>
      <c r="J440" t="s">
        <v>15</v>
      </c>
      <c r="K440">
        <f t="shared" si="6"/>
        <v>9</v>
      </c>
      <c r="L440" cm="1">
        <f t="array" ref="L440">IFERROR(SUMPRODUCT((COUNTIF($D$2:$D$648,$D$2:$D$648)&gt;COUNTIF($D$2:$D$648,D440))/COUNTIF($D$2:$D$648,$D$2:$D$648))+1,"")</f>
        <v>21.999999999999968</v>
      </c>
    </row>
    <row r="441" spans="1:12" x14ac:dyDescent="0.3">
      <c r="A441" t="s">
        <v>183</v>
      </c>
      <c r="B441" s="3">
        <v>46368</v>
      </c>
      <c r="C441" t="s">
        <v>815</v>
      </c>
      <c r="D441" t="s">
        <v>184</v>
      </c>
      <c r="E441" t="s">
        <v>84</v>
      </c>
      <c r="F441" t="s">
        <v>667</v>
      </c>
      <c r="G441" t="s">
        <v>240</v>
      </c>
      <c r="H441" t="s">
        <v>11</v>
      </c>
      <c r="I441">
        <v>7</v>
      </c>
      <c r="J441" t="s">
        <v>15</v>
      </c>
      <c r="K441">
        <f t="shared" si="6"/>
        <v>2</v>
      </c>
      <c r="L441" cm="1">
        <f t="array" ref="L441">IFERROR(SUMPRODUCT((COUNTIF($D$2:$D$648,$D$2:$D$648)&gt;COUNTIF($D$2:$D$648,D441))/COUNTIF($D$2:$D$648,$D$2:$D$648))+1,"")</f>
        <v>65.000000000000426</v>
      </c>
    </row>
    <row r="442" spans="1:12" x14ac:dyDescent="0.3">
      <c r="A442" t="s">
        <v>183</v>
      </c>
      <c r="B442" s="3">
        <v>46368</v>
      </c>
      <c r="C442" t="s">
        <v>815</v>
      </c>
      <c r="D442" t="s">
        <v>48</v>
      </c>
      <c r="E442" t="s">
        <v>17</v>
      </c>
      <c r="F442" t="s">
        <v>668</v>
      </c>
      <c r="G442" t="s">
        <v>217</v>
      </c>
      <c r="H442" t="s">
        <v>11</v>
      </c>
      <c r="I442">
        <v>7</v>
      </c>
      <c r="J442" t="s">
        <v>15</v>
      </c>
      <c r="K442">
        <f t="shared" si="6"/>
        <v>18</v>
      </c>
      <c r="L442" cm="1">
        <f t="array" ref="L442">IFERROR(SUMPRODUCT((COUNTIF($D$2:$D$648,$D$2:$D$648)&gt;COUNTIF($D$2:$D$648,D442))/COUNTIF($D$2:$D$648,$D$2:$D$648))+1,"")</f>
        <v>5.0000000000000009</v>
      </c>
    </row>
    <row r="443" spans="1:12" x14ac:dyDescent="0.3">
      <c r="A443" t="s">
        <v>183</v>
      </c>
      <c r="B443" s="3">
        <v>46368</v>
      </c>
      <c r="C443" t="s">
        <v>815</v>
      </c>
      <c r="D443" t="s">
        <v>73</v>
      </c>
      <c r="E443" t="s">
        <v>179</v>
      </c>
      <c r="F443" t="s">
        <v>340</v>
      </c>
      <c r="G443" t="s">
        <v>234</v>
      </c>
      <c r="H443" t="s">
        <v>11</v>
      </c>
      <c r="I443">
        <v>7</v>
      </c>
      <c r="J443" t="s">
        <v>15</v>
      </c>
      <c r="K443">
        <f t="shared" si="6"/>
        <v>11</v>
      </c>
      <c r="L443" cm="1">
        <f t="array" ref="L443">IFERROR(SUMPRODUCT((COUNTIF($D$2:$D$648,$D$2:$D$648)&gt;COUNTIF($D$2:$D$648,D443))/COUNTIF($D$2:$D$648,$D$2:$D$648))+1,"")</f>
        <v>11.999999999999961</v>
      </c>
    </row>
    <row r="444" spans="1:12" x14ac:dyDescent="0.3">
      <c r="A444" t="s">
        <v>183</v>
      </c>
      <c r="B444" s="3">
        <v>46371</v>
      </c>
      <c r="C444" t="s">
        <v>816</v>
      </c>
      <c r="D444" t="s">
        <v>148</v>
      </c>
      <c r="E444" t="s">
        <v>20</v>
      </c>
      <c r="F444" t="s">
        <v>669</v>
      </c>
      <c r="G444" t="s">
        <v>279</v>
      </c>
      <c r="H444" t="s">
        <v>11</v>
      </c>
      <c r="I444">
        <v>5</v>
      </c>
      <c r="J444" t="s">
        <v>135</v>
      </c>
      <c r="K444">
        <f t="shared" si="6"/>
        <v>4</v>
      </c>
      <c r="L444" cm="1">
        <f t="array" ref="L444">IFERROR(SUMPRODUCT((COUNTIF($D$2:$D$648,$D$2:$D$648)&gt;COUNTIF($D$2:$D$648,D444))/COUNTIF($D$2:$D$648,$D$2:$D$648))+1,"")</f>
        <v>52.000000000000306</v>
      </c>
    </row>
    <row r="445" spans="1:12" x14ac:dyDescent="0.3">
      <c r="A445" t="s">
        <v>183</v>
      </c>
      <c r="B445" s="3">
        <v>46371</v>
      </c>
      <c r="C445" t="s">
        <v>816</v>
      </c>
      <c r="D445" t="s">
        <v>124</v>
      </c>
      <c r="E445" t="s">
        <v>84</v>
      </c>
      <c r="F445" t="s">
        <v>670</v>
      </c>
      <c r="G445" t="s">
        <v>225</v>
      </c>
      <c r="H445" t="s">
        <v>11</v>
      </c>
      <c r="I445">
        <v>7</v>
      </c>
      <c r="J445" t="s">
        <v>15</v>
      </c>
      <c r="K445">
        <f t="shared" si="6"/>
        <v>4</v>
      </c>
      <c r="L445" cm="1">
        <f t="array" ref="L445">IFERROR(SUMPRODUCT((COUNTIF($D$2:$D$648,$D$2:$D$648)&gt;COUNTIF($D$2:$D$648,D445))/COUNTIF($D$2:$D$648,$D$2:$D$648))+1,"")</f>
        <v>52.000000000000306</v>
      </c>
    </row>
    <row r="446" spans="1:12" x14ac:dyDescent="0.3">
      <c r="A446" t="s">
        <v>183</v>
      </c>
      <c r="B446" s="3">
        <v>46372</v>
      </c>
      <c r="C446" t="s">
        <v>812</v>
      </c>
      <c r="D446" t="s">
        <v>13</v>
      </c>
      <c r="E446" t="s">
        <v>23</v>
      </c>
      <c r="F446" t="s">
        <v>595</v>
      </c>
      <c r="G446" t="s">
        <v>218</v>
      </c>
      <c r="H446" t="s">
        <v>11</v>
      </c>
      <c r="I446">
        <v>2</v>
      </c>
      <c r="J446" t="s">
        <v>193</v>
      </c>
      <c r="K446">
        <f t="shared" si="6"/>
        <v>47</v>
      </c>
      <c r="L446" cm="1">
        <f t="array" ref="L446">IFERROR(SUMPRODUCT((COUNTIF($D$2:$D$648,$D$2:$D$648)&gt;COUNTIF($D$2:$D$648,D446))/COUNTIF($D$2:$D$648,$D$2:$D$648))+1,"")</f>
        <v>1</v>
      </c>
    </row>
    <row r="447" spans="1:12" x14ac:dyDescent="0.3">
      <c r="A447" t="s">
        <v>183</v>
      </c>
      <c r="B447" s="3">
        <v>46374</v>
      </c>
      <c r="C447" t="s">
        <v>817</v>
      </c>
      <c r="D447" t="s">
        <v>194</v>
      </c>
      <c r="E447" t="s">
        <v>179</v>
      </c>
      <c r="F447" t="s">
        <v>341</v>
      </c>
      <c r="G447" t="s">
        <v>279</v>
      </c>
      <c r="H447" t="s">
        <v>11</v>
      </c>
      <c r="I447">
        <v>2</v>
      </c>
      <c r="J447" t="s">
        <v>195</v>
      </c>
      <c r="K447">
        <f t="shared" si="6"/>
        <v>1</v>
      </c>
      <c r="L447" cm="1">
        <f t="array" ref="L447">IFERROR(SUMPRODUCT((COUNTIF($D$2:$D$648,$D$2:$D$648)&gt;COUNTIF($D$2:$D$648,D447))/COUNTIF($D$2:$D$648,$D$2:$D$648))+1,"")</f>
        <v>80.000000000000426</v>
      </c>
    </row>
    <row r="448" spans="1:12" x14ac:dyDescent="0.3">
      <c r="A448" t="s">
        <v>183</v>
      </c>
      <c r="B448" s="3">
        <v>46375</v>
      </c>
      <c r="C448" t="s">
        <v>815</v>
      </c>
      <c r="D448" t="s">
        <v>81</v>
      </c>
      <c r="E448" t="s">
        <v>17</v>
      </c>
      <c r="F448" t="s">
        <v>671</v>
      </c>
      <c r="G448" t="s">
        <v>245</v>
      </c>
      <c r="H448" t="s">
        <v>11</v>
      </c>
      <c r="I448">
        <v>2</v>
      </c>
      <c r="J448" t="s">
        <v>196</v>
      </c>
      <c r="K448">
        <f t="shared" si="6"/>
        <v>5</v>
      </c>
      <c r="L448" cm="1">
        <f t="array" ref="L448">IFERROR(SUMPRODUCT((COUNTIF($D$2:$D$648,$D$2:$D$648)&gt;COUNTIF($D$2:$D$648,D448))/COUNTIF($D$2:$D$648,$D$2:$D$648))+1,"")</f>
        <v>43.000000000000199</v>
      </c>
    </row>
    <row r="449" spans="1:12" x14ac:dyDescent="0.3">
      <c r="A449" t="s">
        <v>183</v>
      </c>
      <c r="B449" s="3">
        <v>46375</v>
      </c>
      <c r="C449" t="s">
        <v>815</v>
      </c>
      <c r="D449" t="s">
        <v>43</v>
      </c>
      <c r="E449" t="s">
        <v>23</v>
      </c>
      <c r="F449" t="s">
        <v>672</v>
      </c>
      <c r="G449" t="s">
        <v>252</v>
      </c>
      <c r="H449" t="s">
        <v>11</v>
      </c>
      <c r="I449">
        <v>2</v>
      </c>
      <c r="J449" t="s">
        <v>196</v>
      </c>
      <c r="K449">
        <f t="shared" si="6"/>
        <v>15</v>
      </c>
      <c r="L449" cm="1">
        <f t="array" ref="L449">IFERROR(SUMPRODUCT((COUNTIF($D$2:$D$648,$D$2:$D$648)&gt;COUNTIF($D$2:$D$648,D449))/COUNTIF($D$2:$D$648,$D$2:$D$648))+1,"")</f>
        <v>6.9999999999999947</v>
      </c>
    </row>
    <row r="450" spans="1:12" x14ac:dyDescent="0.3">
      <c r="A450" t="s">
        <v>197</v>
      </c>
      <c r="B450" s="3">
        <v>46028</v>
      </c>
      <c r="C450" t="s">
        <v>812</v>
      </c>
      <c r="D450" t="s">
        <v>48</v>
      </c>
      <c r="E450" t="s">
        <v>67</v>
      </c>
      <c r="F450" t="s">
        <v>673</v>
      </c>
      <c r="G450" t="s">
        <v>228</v>
      </c>
      <c r="H450" t="s">
        <v>11</v>
      </c>
      <c r="I450">
        <v>5</v>
      </c>
      <c r="J450" t="s">
        <v>49</v>
      </c>
      <c r="K450">
        <f t="shared" ref="K450:K513" si="7">COUNTIF($D$2:$D$700,D450)</f>
        <v>18</v>
      </c>
      <c r="L450" cm="1">
        <f t="array" ref="L450">IFERROR(SUMPRODUCT((COUNTIF($D$2:$D$648,$D$2:$D$648)&gt;COUNTIF($D$2:$D$648,D450))/COUNTIF($D$2:$D$648,$D$2:$D$648))+1,"")</f>
        <v>5.0000000000000009</v>
      </c>
    </row>
    <row r="451" spans="1:12" x14ac:dyDescent="0.3">
      <c r="A451" t="s">
        <v>197</v>
      </c>
      <c r="B451" s="3">
        <v>46028</v>
      </c>
      <c r="C451" t="s">
        <v>812</v>
      </c>
      <c r="D451" t="s">
        <v>89</v>
      </c>
      <c r="E451" t="s">
        <v>17</v>
      </c>
      <c r="F451" t="s">
        <v>674</v>
      </c>
      <c r="G451" t="s">
        <v>250</v>
      </c>
      <c r="H451" t="s">
        <v>11</v>
      </c>
      <c r="I451">
        <v>5</v>
      </c>
      <c r="J451" t="s">
        <v>90</v>
      </c>
      <c r="K451">
        <f t="shared" si="7"/>
        <v>7</v>
      </c>
      <c r="L451" cm="1">
        <f t="array" ref="L451">IFERROR(SUMPRODUCT((COUNTIF($D$2:$D$648,$D$2:$D$648)&gt;COUNTIF($D$2:$D$648,D451))/COUNTIF($D$2:$D$648,$D$2:$D$648))+1,"")</f>
        <v>31.999999999999968</v>
      </c>
    </row>
    <row r="452" spans="1:12" x14ac:dyDescent="0.3">
      <c r="A452" t="s">
        <v>197</v>
      </c>
      <c r="B452" s="3">
        <v>46028</v>
      </c>
      <c r="C452" t="s">
        <v>812</v>
      </c>
      <c r="D452" t="s">
        <v>97</v>
      </c>
      <c r="E452" t="s">
        <v>23</v>
      </c>
      <c r="F452" t="s">
        <v>675</v>
      </c>
      <c r="G452" t="s">
        <v>256</v>
      </c>
      <c r="H452" t="s">
        <v>11</v>
      </c>
      <c r="I452">
        <v>5</v>
      </c>
      <c r="J452" t="s">
        <v>90</v>
      </c>
      <c r="K452">
        <f t="shared" si="7"/>
        <v>13</v>
      </c>
      <c r="L452" cm="1">
        <f t="array" ref="L452">IFERROR(SUMPRODUCT((COUNTIF($D$2:$D$648,$D$2:$D$648)&gt;COUNTIF($D$2:$D$648,D452))/COUNTIF($D$2:$D$648,$D$2:$D$648))+1,"")</f>
        <v>7.999999999999992</v>
      </c>
    </row>
    <row r="453" spans="1:12" x14ac:dyDescent="0.3">
      <c r="A453" t="s">
        <v>197</v>
      </c>
      <c r="B453" s="3">
        <v>46028</v>
      </c>
      <c r="C453" t="s">
        <v>812</v>
      </c>
      <c r="D453" t="s">
        <v>198</v>
      </c>
      <c r="E453" t="s">
        <v>14</v>
      </c>
      <c r="F453" t="s">
        <v>676</v>
      </c>
      <c r="G453" t="s">
        <v>266</v>
      </c>
      <c r="H453" t="s">
        <v>11</v>
      </c>
      <c r="I453">
        <v>5</v>
      </c>
      <c r="J453" t="s">
        <v>75</v>
      </c>
      <c r="K453">
        <f t="shared" si="7"/>
        <v>1</v>
      </c>
      <c r="L453" cm="1">
        <f t="array" ref="L453">IFERROR(SUMPRODUCT((COUNTIF($D$2:$D$648,$D$2:$D$648)&gt;COUNTIF($D$2:$D$648,D453))/COUNTIF($D$2:$D$648,$D$2:$D$648))+1,"")</f>
        <v>80.000000000000426</v>
      </c>
    </row>
    <row r="454" spans="1:12" x14ac:dyDescent="0.3">
      <c r="A454" t="s">
        <v>197</v>
      </c>
      <c r="B454" s="3">
        <v>46028</v>
      </c>
      <c r="C454" t="s">
        <v>812</v>
      </c>
      <c r="D454" t="s">
        <v>105</v>
      </c>
      <c r="E454" t="s">
        <v>62</v>
      </c>
      <c r="F454" t="s">
        <v>342</v>
      </c>
      <c r="G454" t="s">
        <v>259</v>
      </c>
      <c r="H454" t="s">
        <v>11</v>
      </c>
      <c r="I454">
        <v>5</v>
      </c>
      <c r="J454" t="s">
        <v>12</v>
      </c>
      <c r="K454">
        <f t="shared" si="7"/>
        <v>20</v>
      </c>
      <c r="L454" cm="1">
        <f t="array" ref="L454">IFERROR(SUMPRODUCT((COUNTIF($D$2:$D$648,$D$2:$D$648)&gt;COUNTIF($D$2:$D$648,D454))/COUNTIF($D$2:$D$648,$D$2:$D$648))+1,"")</f>
        <v>3.0000000000000009</v>
      </c>
    </row>
    <row r="455" spans="1:12" x14ac:dyDescent="0.3">
      <c r="A455" t="s">
        <v>197</v>
      </c>
      <c r="B455" s="3">
        <v>46029</v>
      </c>
      <c r="C455" t="s">
        <v>814</v>
      </c>
      <c r="D455" t="s">
        <v>145</v>
      </c>
      <c r="E455" t="s">
        <v>20</v>
      </c>
      <c r="F455" t="s">
        <v>677</v>
      </c>
      <c r="G455" t="s">
        <v>274</v>
      </c>
      <c r="H455" t="s">
        <v>11</v>
      </c>
      <c r="I455">
        <v>3</v>
      </c>
      <c r="J455" t="s">
        <v>54</v>
      </c>
      <c r="K455">
        <f t="shared" si="7"/>
        <v>4</v>
      </c>
      <c r="L455" cm="1">
        <f t="array" ref="L455">IFERROR(SUMPRODUCT((COUNTIF($D$2:$D$648,$D$2:$D$648)&gt;COUNTIF($D$2:$D$648,D455))/COUNTIF($D$2:$D$648,$D$2:$D$648))+1,"")</f>
        <v>52.000000000000306</v>
      </c>
    </row>
    <row r="456" spans="1:12" x14ac:dyDescent="0.3">
      <c r="A456" t="s">
        <v>197</v>
      </c>
      <c r="B456" s="3">
        <v>46029</v>
      </c>
      <c r="C456" t="s">
        <v>814</v>
      </c>
      <c r="D456" t="s">
        <v>89</v>
      </c>
      <c r="E456" t="s">
        <v>23</v>
      </c>
      <c r="F456" t="s">
        <v>678</v>
      </c>
      <c r="G456" t="s">
        <v>250</v>
      </c>
      <c r="H456" t="s">
        <v>11</v>
      </c>
      <c r="I456">
        <v>3</v>
      </c>
      <c r="J456" t="s">
        <v>98</v>
      </c>
      <c r="K456">
        <f t="shared" si="7"/>
        <v>7</v>
      </c>
      <c r="L456" cm="1">
        <f t="array" ref="L456">IFERROR(SUMPRODUCT((COUNTIF($D$2:$D$648,$D$2:$D$648)&gt;COUNTIF($D$2:$D$648,D456))/COUNTIF($D$2:$D$648,$D$2:$D$648))+1,"")</f>
        <v>31.999999999999968</v>
      </c>
    </row>
    <row r="457" spans="1:12" x14ac:dyDescent="0.3">
      <c r="A457" t="s">
        <v>197</v>
      </c>
      <c r="B457" s="3">
        <v>46029</v>
      </c>
      <c r="C457" t="s">
        <v>814</v>
      </c>
      <c r="D457" t="s">
        <v>97</v>
      </c>
      <c r="E457" t="s">
        <v>17</v>
      </c>
      <c r="F457" t="s">
        <v>679</v>
      </c>
      <c r="G457" t="s">
        <v>256</v>
      </c>
      <c r="H457" t="s">
        <v>11</v>
      </c>
      <c r="I457">
        <v>3</v>
      </c>
      <c r="J457" t="s">
        <v>98</v>
      </c>
      <c r="K457">
        <f t="shared" si="7"/>
        <v>13</v>
      </c>
      <c r="L457" cm="1">
        <f t="array" ref="L457">IFERROR(SUMPRODUCT((COUNTIF($D$2:$D$648,$D$2:$D$648)&gt;COUNTIF($D$2:$D$648,D457))/COUNTIF($D$2:$D$648,$D$2:$D$648))+1,"")</f>
        <v>7.999999999999992</v>
      </c>
    </row>
    <row r="458" spans="1:12" x14ac:dyDescent="0.3">
      <c r="A458" t="s">
        <v>197</v>
      </c>
      <c r="B458" s="3">
        <v>46029</v>
      </c>
      <c r="C458" t="s">
        <v>814</v>
      </c>
      <c r="D458" t="s">
        <v>146</v>
      </c>
      <c r="E458" t="s">
        <v>67</v>
      </c>
      <c r="F458" t="s">
        <v>680</v>
      </c>
      <c r="G458" t="s">
        <v>275</v>
      </c>
      <c r="H458" t="s">
        <v>11</v>
      </c>
      <c r="I458">
        <v>3</v>
      </c>
      <c r="J458" t="s">
        <v>29</v>
      </c>
      <c r="K458">
        <f t="shared" si="7"/>
        <v>3</v>
      </c>
      <c r="L458" cm="1">
        <f t="array" ref="L458">IFERROR(SUMPRODUCT((COUNTIF($D$2:$D$648,$D$2:$D$648)&gt;COUNTIF($D$2:$D$648,D458))/COUNTIF($D$2:$D$648,$D$2:$D$648))+1,"")</f>
        <v>58.000000000000348</v>
      </c>
    </row>
    <row r="459" spans="1:12" x14ac:dyDescent="0.3">
      <c r="A459" t="s">
        <v>197</v>
      </c>
      <c r="B459" s="3">
        <v>46029</v>
      </c>
      <c r="C459" t="s">
        <v>814</v>
      </c>
      <c r="D459" t="s">
        <v>124</v>
      </c>
      <c r="E459" t="s">
        <v>14</v>
      </c>
      <c r="F459" t="s">
        <v>681</v>
      </c>
      <c r="G459" t="s">
        <v>225</v>
      </c>
      <c r="H459" t="s">
        <v>11</v>
      </c>
      <c r="I459">
        <v>4</v>
      </c>
      <c r="J459" t="s">
        <v>30</v>
      </c>
      <c r="K459">
        <f t="shared" si="7"/>
        <v>4</v>
      </c>
      <c r="L459" cm="1">
        <f t="array" ref="L459">IFERROR(SUMPRODUCT((COUNTIF($D$2:$D$648,$D$2:$D$648)&gt;COUNTIF($D$2:$D$648,D459))/COUNTIF($D$2:$D$648,$D$2:$D$648))+1,"")</f>
        <v>52.000000000000306</v>
      </c>
    </row>
    <row r="460" spans="1:12" x14ac:dyDescent="0.3">
      <c r="A460" t="s">
        <v>197</v>
      </c>
      <c r="B460" s="3">
        <v>46029</v>
      </c>
      <c r="C460" t="s">
        <v>814</v>
      </c>
      <c r="D460" t="s">
        <v>126</v>
      </c>
      <c r="E460" t="s">
        <v>84</v>
      </c>
      <c r="F460" t="s">
        <v>682</v>
      </c>
      <c r="G460" t="s">
        <v>266</v>
      </c>
      <c r="H460" t="s">
        <v>11</v>
      </c>
      <c r="I460">
        <v>3</v>
      </c>
      <c r="J460" t="s">
        <v>98</v>
      </c>
      <c r="K460">
        <f t="shared" si="7"/>
        <v>25</v>
      </c>
      <c r="L460" cm="1">
        <f t="array" ref="L460">IFERROR(SUMPRODUCT((COUNTIF($D$2:$D$648,$D$2:$D$648)&gt;COUNTIF($D$2:$D$648,D460))/COUNTIF($D$2:$D$648,$D$2:$D$648))+1,"")</f>
        <v>2.0000000000000004</v>
      </c>
    </row>
    <row r="461" spans="1:12" x14ac:dyDescent="0.3">
      <c r="A461" t="s">
        <v>197</v>
      </c>
      <c r="B461" s="3">
        <v>46030</v>
      </c>
      <c r="C461" t="s">
        <v>817</v>
      </c>
      <c r="D461" t="s">
        <v>13</v>
      </c>
      <c r="E461" t="s">
        <v>84</v>
      </c>
      <c r="F461" t="s">
        <v>683</v>
      </c>
      <c r="G461" t="s">
        <v>218</v>
      </c>
      <c r="H461" t="s">
        <v>11</v>
      </c>
      <c r="I461">
        <v>4</v>
      </c>
      <c r="J461" t="s">
        <v>40</v>
      </c>
      <c r="K461">
        <f t="shared" si="7"/>
        <v>47</v>
      </c>
      <c r="L461" cm="1">
        <f t="array" ref="L461">IFERROR(SUMPRODUCT((COUNTIF($D$2:$D$648,$D$2:$D$648)&gt;COUNTIF($D$2:$D$648,D461))/COUNTIF($D$2:$D$648,$D$2:$D$648))+1,"")</f>
        <v>1</v>
      </c>
    </row>
    <row r="462" spans="1:12" x14ac:dyDescent="0.3">
      <c r="A462" t="s">
        <v>197</v>
      </c>
      <c r="B462" s="3">
        <v>46030</v>
      </c>
      <c r="C462" t="s">
        <v>817</v>
      </c>
      <c r="D462" t="s">
        <v>145</v>
      </c>
      <c r="E462" t="s">
        <v>20</v>
      </c>
      <c r="F462" t="s">
        <v>677</v>
      </c>
      <c r="G462" t="s">
        <v>274</v>
      </c>
      <c r="H462" t="s">
        <v>11</v>
      </c>
      <c r="I462">
        <v>3</v>
      </c>
      <c r="J462" t="s">
        <v>59</v>
      </c>
      <c r="K462">
        <f t="shared" si="7"/>
        <v>4</v>
      </c>
      <c r="L462" cm="1">
        <f t="array" ref="L462">IFERROR(SUMPRODUCT((COUNTIF($D$2:$D$648,$D$2:$D$648)&gt;COUNTIF($D$2:$D$648,D462))/COUNTIF($D$2:$D$648,$D$2:$D$648))+1,"")</f>
        <v>52.000000000000306</v>
      </c>
    </row>
    <row r="463" spans="1:12" x14ac:dyDescent="0.3">
      <c r="A463" t="s">
        <v>197</v>
      </c>
      <c r="B463" s="3">
        <v>46030</v>
      </c>
      <c r="C463" t="s">
        <v>817</v>
      </c>
      <c r="D463" t="s">
        <v>89</v>
      </c>
      <c r="E463" t="s">
        <v>23</v>
      </c>
      <c r="F463" t="s">
        <v>684</v>
      </c>
      <c r="G463" t="s">
        <v>250</v>
      </c>
      <c r="H463" t="s">
        <v>11</v>
      </c>
      <c r="I463">
        <v>3</v>
      </c>
      <c r="J463" t="s">
        <v>37</v>
      </c>
      <c r="K463">
        <f t="shared" si="7"/>
        <v>7</v>
      </c>
      <c r="L463" cm="1">
        <f t="array" ref="L463">IFERROR(SUMPRODUCT((COUNTIF($D$2:$D$648,$D$2:$D$648)&gt;COUNTIF($D$2:$D$648,D463))/COUNTIF($D$2:$D$648,$D$2:$D$648))+1,"")</f>
        <v>31.999999999999968</v>
      </c>
    </row>
    <row r="464" spans="1:12" x14ac:dyDescent="0.3">
      <c r="A464" t="s">
        <v>197</v>
      </c>
      <c r="B464" s="3">
        <v>46030</v>
      </c>
      <c r="C464" t="s">
        <v>817</v>
      </c>
      <c r="D464" t="s">
        <v>97</v>
      </c>
      <c r="E464" t="s">
        <v>17</v>
      </c>
      <c r="F464" t="s">
        <v>679</v>
      </c>
      <c r="G464" t="s">
        <v>256</v>
      </c>
      <c r="H464" t="s">
        <v>11</v>
      </c>
      <c r="I464">
        <v>3</v>
      </c>
      <c r="J464" t="s">
        <v>37</v>
      </c>
      <c r="K464">
        <f t="shared" si="7"/>
        <v>13</v>
      </c>
      <c r="L464" cm="1">
        <f t="array" ref="L464">IFERROR(SUMPRODUCT((COUNTIF($D$2:$D$648,$D$2:$D$648)&gt;COUNTIF($D$2:$D$648,D464))/COUNTIF($D$2:$D$648,$D$2:$D$648))+1,"")</f>
        <v>7.999999999999992</v>
      </c>
    </row>
    <row r="465" spans="1:12" x14ac:dyDescent="0.3">
      <c r="A465" t="s">
        <v>197</v>
      </c>
      <c r="B465" s="3">
        <v>46030</v>
      </c>
      <c r="C465" t="s">
        <v>817</v>
      </c>
      <c r="D465" t="s">
        <v>106</v>
      </c>
      <c r="E465" t="s">
        <v>14</v>
      </c>
      <c r="F465" t="s">
        <v>685</v>
      </c>
      <c r="G465" t="s">
        <v>260</v>
      </c>
      <c r="H465" t="s">
        <v>11</v>
      </c>
      <c r="I465">
        <v>3</v>
      </c>
      <c r="J465" t="s">
        <v>37</v>
      </c>
      <c r="K465">
        <f t="shared" si="7"/>
        <v>8</v>
      </c>
      <c r="L465" cm="1">
        <f t="array" ref="L465">IFERROR(SUMPRODUCT((COUNTIF($D$2:$D$648,$D$2:$D$648)&gt;COUNTIF($D$2:$D$648,D465))/COUNTIF($D$2:$D$648,$D$2:$D$648))+1,"")</f>
        <v>24.999999999999957</v>
      </c>
    </row>
    <row r="466" spans="1:12" x14ac:dyDescent="0.3">
      <c r="A466" t="s">
        <v>197</v>
      </c>
      <c r="B466" s="3">
        <v>46030</v>
      </c>
      <c r="C466" t="s">
        <v>817</v>
      </c>
      <c r="D466" t="s">
        <v>126</v>
      </c>
      <c r="E466" t="s">
        <v>84</v>
      </c>
      <c r="F466" t="s">
        <v>686</v>
      </c>
      <c r="G466" t="s">
        <v>266</v>
      </c>
      <c r="H466" t="s">
        <v>11</v>
      </c>
      <c r="I466">
        <v>3</v>
      </c>
      <c r="J466" t="s">
        <v>35</v>
      </c>
      <c r="K466">
        <f t="shared" si="7"/>
        <v>25</v>
      </c>
      <c r="L466" cm="1">
        <f t="array" ref="L466">IFERROR(SUMPRODUCT((COUNTIF($D$2:$D$648,$D$2:$D$648)&gt;COUNTIF($D$2:$D$648,D466))/COUNTIF($D$2:$D$648,$D$2:$D$648))+1,"")</f>
        <v>2.0000000000000004</v>
      </c>
    </row>
    <row r="467" spans="1:12" x14ac:dyDescent="0.3">
      <c r="A467" t="s">
        <v>197</v>
      </c>
      <c r="B467" s="3">
        <v>46031</v>
      </c>
      <c r="C467" t="s">
        <v>815</v>
      </c>
      <c r="D467" t="s">
        <v>89</v>
      </c>
      <c r="E467" t="s">
        <v>67</v>
      </c>
      <c r="F467" t="s">
        <v>687</v>
      </c>
      <c r="G467" t="s">
        <v>250</v>
      </c>
      <c r="H467" t="s">
        <v>11</v>
      </c>
      <c r="I467">
        <v>5</v>
      </c>
      <c r="J467" t="s">
        <v>90</v>
      </c>
      <c r="K467">
        <f t="shared" si="7"/>
        <v>7</v>
      </c>
      <c r="L467" cm="1">
        <f t="array" ref="L467">IFERROR(SUMPRODUCT((COUNTIF($D$2:$D$648,$D$2:$D$648)&gt;COUNTIF($D$2:$D$648,D467))/COUNTIF($D$2:$D$648,$D$2:$D$648))+1,"")</f>
        <v>31.999999999999968</v>
      </c>
    </row>
    <row r="468" spans="1:12" x14ac:dyDescent="0.3">
      <c r="A468" t="s">
        <v>197</v>
      </c>
      <c r="B468" s="3">
        <v>46031</v>
      </c>
      <c r="C468" t="s">
        <v>815</v>
      </c>
      <c r="D468" t="s">
        <v>97</v>
      </c>
      <c r="E468" t="s">
        <v>17</v>
      </c>
      <c r="F468" t="s">
        <v>679</v>
      </c>
      <c r="G468" t="s">
        <v>256</v>
      </c>
      <c r="H468" t="s">
        <v>11</v>
      </c>
      <c r="I468">
        <v>5</v>
      </c>
      <c r="J468" t="s">
        <v>90</v>
      </c>
      <c r="K468">
        <f t="shared" si="7"/>
        <v>13</v>
      </c>
      <c r="L468" cm="1">
        <f t="array" ref="L468">IFERROR(SUMPRODUCT((COUNTIF($D$2:$D$648,$D$2:$D$648)&gt;COUNTIF($D$2:$D$648,D468))/COUNTIF($D$2:$D$648,$D$2:$D$648))+1,"")</f>
        <v>7.999999999999992</v>
      </c>
    </row>
    <row r="469" spans="1:12" x14ac:dyDescent="0.3">
      <c r="A469" t="s">
        <v>197</v>
      </c>
      <c r="B469" s="3">
        <v>46031</v>
      </c>
      <c r="C469" t="s">
        <v>815</v>
      </c>
      <c r="D469" t="s">
        <v>106</v>
      </c>
      <c r="E469" t="s">
        <v>14</v>
      </c>
      <c r="F469" t="s">
        <v>685</v>
      </c>
      <c r="G469" t="s">
        <v>260</v>
      </c>
      <c r="H469" t="s">
        <v>11</v>
      </c>
      <c r="I469">
        <v>5</v>
      </c>
      <c r="J469" t="s">
        <v>90</v>
      </c>
      <c r="K469">
        <f t="shared" si="7"/>
        <v>8</v>
      </c>
      <c r="L469" cm="1">
        <f t="array" ref="L469">IFERROR(SUMPRODUCT((COUNTIF($D$2:$D$648,$D$2:$D$648)&gt;COUNTIF($D$2:$D$648,D469))/COUNTIF($D$2:$D$648,$D$2:$D$648))+1,"")</f>
        <v>24.999999999999957</v>
      </c>
    </row>
    <row r="470" spans="1:12" x14ac:dyDescent="0.3">
      <c r="A470" t="s">
        <v>197</v>
      </c>
      <c r="B470" s="3">
        <v>46031</v>
      </c>
      <c r="C470" t="s">
        <v>815</v>
      </c>
      <c r="D470" t="s">
        <v>126</v>
      </c>
      <c r="E470" t="s">
        <v>20</v>
      </c>
      <c r="F470" t="s">
        <v>688</v>
      </c>
      <c r="G470" t="s">
        <v>266</v>
      </c>
      <c r="H470" t="s">
        <v>11</v>
      </c>
      <c r="I470">
        <v>5</v>
      </c>
      <c r="J470" t="s">
        <v>75</v>
      </c>
      <c r="K470">
        <f t="shared" si="7"/>
        <v>25</v>
      </c>
      <c r="L470" cm="1">
        <f t="array" ref="L470">IFERROR(SUMPRODUCT((COUNTIF($D$2:$D$648,$D$2:$D$648)&gt;COUNTIF($D$2:$D$648,D470))/COUNTIF($D$2:$D$648,$D$2:$D$648))+1,"")</f>
        <v>2.0000000000000004</v>
      </c>
    </row>
    <row r="471" spans="1:12" x14ac:dyDescent="0.3">
      <c r="A471" t="s">
        <v>197</v>
      </c>
      <c r="B471" s="3">
        <v>46031</v>
      </c>
      <c r="C471" t="s">
        <v>815</v>
      </c>
      <c r="D471" t="s">
        <v>95</v>
      </c>
      <c r="E471" t="s">
        <v>23</v>
      </c>
      <c r="F471" t="s">
        <v>689</v>
      </c>
      <c r="G471" t="s">
        <v>254</v>
      </c>
      <c r="H471" t="s">
        <v>11</v>
      </c>
      <c r="I471">
        <v>5</v>
      </c>
      <c r="J471" t="s">
        <v>75</v>
      </c>
      <c r="K471">
        <f t="shared" si="7"/>
        <v>11</v>
      </c>
      <c r="L471" cm="1">
        <f t="array" ref="L471">IFERROR(SUMPRODUCT((COUNTIF($D$2:$D$648,$D$2:$D$648)&gt;COUNTIF($D$2:$D$648,D471))/COUNTIF($D$2:$D$648,$D$2:$D$648))+1,"")</f>
        <v>11.999999999999961</v>
      </c>
    </row>
    <row r="472" spans="1:12" x14ac:dyDescent="0.3">
      <c r="A472" t="s">
        <v>197</v>
      </c>
      <c r="B472" s="3">
        <v>46034</v>
      </c>
      <c r="C472" t="s">
        <v>816</v>
      </c>
      <c r="D472" t="s">
        <v>105</v>
      </c>
      <c r="E472" t="s">
        <v>20</v>
      </c>
      <c r="F472" t="s">
        <v>690</v>
      </c>
      <c r="G472" t="s">
        <v>259</v>
      </c>
      <c r="H472" t="s">
        <v>11</v>
      </c>
      <c r="I472">
        <v>5</v>
      </c>
      <c r="J472" t="s">
        <v>12</v>
      </c>
      <c r="K472">
        <f t="shared" si="7"/>
        <v>20</v>
      </c>
      <c r="L472" cm="1">
        <f t="array" ref="L472">IFERROR(SUMPRODUCT((COUNTIF($D$2:$D$648,$D$2:$D$648)&gt;COUNTIF($D$2:$D$648,D472))/COUNTIF($D$2:$D$648,$D$2:$D$648))+1,"")</f>
        <v>3.0000000000000009</v>
      </c>
    </row>
    <row r="473" spans="1:12" x14ac:dyDescent="0.3">
      <c r="A473" t="s">
        <v>197</v>
      </c>
      <c r="B473" s="3">
        <v>46034</v>
      </c>
      <c r="C473" t="s">
        <v>816</v>
      </c>
      <c r="D473" t="s">
        <v>126</v>
      </c>
      <c r="E473" t="s">
        <v>14</v>
      </c>
      <c r="F473" t="s">
        <v>691</v>
      </c>
      <c r="G473" t="s">
        <v>266</v>
      </c>
      <c r="H473" t="s">
        <v>11</v>
      </c>
      <c r="I473">
        <v>5</v>
      </c>
      <c r="J473" t="s">
        <v>75</v>
      </c>
      <c r="K473">
        <f t="shared" si="7"/>
        <v>25</v>
      </c>
      <c r="L473" cm="1">
        <f t="array" ref="L473">IFERROR(SUMPRODUCT((COUNTIF($D$2:$D$648,$D$2:$D$648)&gt;COUNTIF($D$2:$D$648,D473))/COUNTIF($D$2:$D$648,$D$2:$D$648))+1,"")</f>
        <v>2.0000000000000004</v>
      </c>
    </row>
    <row r="474" spans="1:12" x14ac:dyDescent="0.3">
      <c r="A474" t="s">
        <v>197</v>
      </c>
      <c r="B474" s="3">
        <v>46034</v>
      </c>
      <c r="C474" t="s">
        <v>816</v>
      </c>
      <c r="D474" t="s">
        <v>97</v>
      </c>
      <c r="E474" t="s">
        <v>23</v>
      </c>
      <c r="F474" t="s">
        <v>692</v>
      </c>
      <c r="G474" t="s">
        <v>256</v>
      </c>
      <c r="H474" t="s">
        <v>11</v>
      </c>
      <c r="I474">
        <v>5</v>
      </c>
      <c r="J474" t="s">
        <v>90</v>
      </c>
      <c r="K474">
        <f t="shared" si="7"/>
        <v>13</v>
      </c>
      <c r="L474" cm="1">
        <f t="array" ref="L474">IFERROR(SUMPRODUCT((COUNTIF($D$2:$D$648,$D$2:$D$648)&gt;COUNTIF($D$2:$D$648,D474))/COUNTIF($D$2:$D$648,$D$2:$D$648))+1,"")</f>
        <v>7.999999999999992</v>
      </c>
    </row>
    <row r="475" spans="1:12" x14ac:dyDescent="0.3">
      <c r="A475" t="s">
        <v>197</v>
      </c>
      <c r="B475" s="3">
        <v>46034</v>
      </c>
      <c r="C475" t="s">
        <v>816</v>
      </c>
      <c r="D475" t="s">
        <v>133</v>
      </c>
      <c r="E475" t="s">
        <v>17</v>
      </c>
      <c r="F475" t="s">
        <v>693</v>
      </c>
      <c r="G475" t="s">
        <v>268</v>
      </c>
      <c r="H475" t="s">
        <v>11</v>
      </c>
      <c r="I475">
        <v>5</v>
      </c>
      <c r="J475" t="s">
        <v>18</v>
      </c>
      <c r="K475">
        <f t="shared" si="7"/>
        <v>6</v>
      </c>
      <c r="L475" cm="1">
        <f t="array" ref="L475">IFERROR(SUMPRODUCT((COUNTIF($D$2:$D$648,$D$2:$D$648)&gt;COUNTIF($D$2:$D$648,D475))/COUNTIF($D$2:$D$648,$D$2:$D$648))+1,"")</f>
        <v>39.000000000000114</v>
      </c>
    </row>
    <row r="476" spans="1:12" x14ac:dyDescent="0.3">
      <c r="A476" t="s">
        <v>197</v>
      </c>
      <c r="B476" s="3">
        <v>46034</v>
      </c>
      <c r="C476" t="s">
        <v>816</v>
      </c>
      <c r="D476" t="s">
        <v>170</v>
      </c>
      <c r="E476" t="s">
        <v>84</v>
      </c>
      <c r="F476" t="s">
        <v>694</v>
      </c>
      <c r="G476" t="s">
        <v>281</v>
      </c>
      <c r="H476" t="s">
        <v>11</v>
      </c>
      <c r="I476">
        <v>3</v>
      </c>
      <c r="J476" t="s">
        <v>199</v>
      </c>
      <c r="K476">
        <f t="shared" si="7"/>
        <v>3</v>
      </c>
      <c r="L476" cm="1">
        <f t="array" ref="L476">IFERROR(SUMPRODUCT((COUNTIF($D$2:$D$648,$D$2:$D$648)&gt;COUNTIF($D$2:$D$648,D476))/COUNTIF($D$2:$D$648,$D$2:$D$648))+1,"")</f>
        <v>58.000000000000348</v>
      </c>
    </row>
    <row r="477" spans="1:12" x14ac:dyDescent="0.3">
      <c r="A477" t="s">
        <v>197</v>
      </c>
      <c r="B477" s="3">
        <v>46034</v>
      </c>
      <c r="C477" t="s">
        <v>816</v>
      </c>
      <c r="D477" t="s">
        <v>86</v>
      </c>
      <c r="E477" t="s">
        <v>67</v>
      </c>
      <c r="F477" t="s">
        <v>695</v>
      </c>
      <c r="G477" t="s">
        <v>248</v>
      </c>
      <c r="H477" t="s">
        <v>11</v>
      </c>
      <c r="I477">
        <v>5</v>
      </c>
      <c r="J477" t="s">
        <v>21</v>
      </c>
      <c r="K477">
        <f t="shared" si="7"/>
        <v>10</v>
      </c>
      <c r="L477" cm="1">
        <f t="array" ref="L477">IFERROR(SUMPRODUCT((COUNTIF($D$2:$D$648,$D$2:$D$648)&gt;COUNTIF($D$2:$D$648,D477))/COUNTIF($D$2:$D$648,$D$2:$D$648))+1,"")</f>
        <v>17.999999999999975</v>
      </c>
    </row>
    <row r="478" spans="1:12" x14ac:dyDescent="0.3">
      <c r="A478" t="s">
        <v>197</v>
      </c>
      <c r="B478" s="3">
        <v>46034</v>
      </c>
      <c r="C478" t="s">
        <v>816</v>
      </c>
      <c r="D478" t="s">
        <v>110</v>
      </c>
      <c r="E478" t="s">
        <v>179</v>
      </c>
      <c r="F478" t="s">
        <v>343</v>
      </c>
      <c r="G478" t="s">
        <v>262</v>
      </c>
      <c r="H478" t="s">
        <v>11</v>
      </c>
      <c r="I478">
        <v>5</v>
      </c>
      <c r="J478" t="s">
        <v>90</v>
      </c>
      <c r="K478">
        <f t="shared" si="7"/>
        <v>11</v>
      </c>
      <c r="L478" cm="1">
        <f t="array" ref="L478">IFERROR(SUMPRODUCT((COUNTIF($D$2:$D$648,$D$2:$D$648)&gt;COUNTIF($D$2:$D$648,D478))/COUNTIF($D$2:$D$648,$D$2:$D$648))+1,"")</f>
        <v>11.999999999999961</v>
      </c>
    </row>
    <row r="479" spans="1:12" x14ac:dyDescent="0.3">
      <c r="A479" t="s">
        <v>197</v>
      </c>
      <c r="B479" s="3">
        <v>46035</v>
      </c>
      <c r="C479" t="s">
        <v>812</v>
      </c>
      <c r="D479" t="s">
        <v>126</v>
      </c>
      <c r="E479" t="s">
        <v>14</v>
      </c>
      <c r="F479" t="s">
        <v>691</v>
      </c>
      <c r="G479" t="s">
        <v>266</v>
      </c>
      <c r="H479" t="s">
        <v>11</v>
      </c>
      <c r="I479">
        <v>5</v>
      </c>
      <c r="J479" t="s">
        <v>75</v>
      </c>
      <c r="K479">
        <f t="shared" si="7"/>
        <v>25</v>
      </c>
      <c r="L479" cm="1">
        <f t="array" ref="L479">IFERROR(SUMPRODUCT((COUNTIF($D$2:$D$648,$D$2:$D$648)&gt;COUNTIF($D$2:$D$648,D479))/COUNTIF($D$2:$D$648,$D$2:$D$648))+1,"")</f>
        <v>2.0000000000000004</v>
      </c>
    </row>
    <row r="480" spans="1:12" x14ac:dyDescent="0.3">
      <c r="A480" t="s">
        <v>197</v>
      </c>
      <c r="B480" s="3">
        <v>46035</v>
      </c>
      <c r="C480" t="s">
        <v>812</v>
      </c>
      <c r="D480" t="s">
        <v>86</v>
      </c>
      <c r="E480" t="s">
        <v>23</v>
      </c>
      <c r="F480" t="s">
        <v>692</v>
      </c>
      <c r="G480" t="s">
        <v>248</v>
      </c>
      <c r="H480" t="s">
        <v>11</v>
      </c>
      <c r="I480">
        <v>7</v>
      </c>
      <c r="J480" t="s">
        <v>15</v>
      </c>
      <c r="K480">
        <f t="shared" si="7"/>
        <v>10</v>
      </c>
      <c r="L480" cm="1">
        <f t="array" ref="L480">IFERROR(SUMPRODUCT((COUNTIF($D$2:$D$648,$D$2:$D$648)&gt;COUNTIF($D$2:$D$648,D480))/COUNTIF($D$2:$D$648,$D$2:$D$648))+1,"")</f>
        <v>17.999999999999975</v>
      </c>
    </row>
    <row r="481" spans="1:12" x14ac:dyDescent="0.3">
      <c r="A481" t="s">
        <v>197</v>
      </c>
      <c r="B481" s="3">
        <v>46035</v>
      </c>
      <c r="C481" t="s">
        <v>812</v>
      </c>
      <c r="D481" t="s">
        <v>133</v>
      </c>
      <c r="E481" t="s">
        <v>17</v>
      </c>
      <c r="F481" t="s">
        <v>693</v>
      </c>
      <c r="G481" t="s">
        <v>268</v>
      </c>
      <c r="H481" t="s">
        <v>11</v>
      </c>
      <c r="I481">
        <v>5</v>
      </c>
      <c r="J481" t="s">
        <v>18</v>
      </c>
      <c r="K481">
        <f t="shared" si="7"/>
        <v>6</v>
      </c>
      <c r="L481" cm="1">
        <f t="array" ref="L481">IFERROR(SUMPRODUCT((COUNTIF($D$2:$D$648,$D$2:$D$648)&gt;COUNTIF($D$2:$D$648,D481))/COUNTIF($D$2:$D$648,$D$2:$D$648))+1,"")</f>
        <v>39.000000000000114</v>
      </c>
    </row>
    <row r="482" spans="1:12" x14ac:dyDescent="0.3">
      <c r="A482" t="s">
        <v>197</v>
      </c>
      <c r="B482" s="3">
        <v>46035</v>
      </c>
      <c r="C482" t="s">
        <v>812</v>
      </c>
      <c r="D482" t="s">
        <v>121</v>
      </c>
      <c r="E482" t="s">
        <v>20</v>
      </c>
      <c r="F482" t="s">
        <v>696</v>
      </c>
      <c r="G482" t="s">
        <v>283</v>
      </c>
      <c r="H482" t="s">
        <v>11</v>
      </c>
      <c r="I482">
        <v>5</v>
      </c>
      <c r="J482" t="s">
        <v>65</v>
      </c>
      <c r="K482">
        <f t="shared" si="7"/>
        <v>8</v>
      </c>
      <c r="L482" cm="1">
        <f t="array" ref="L482">IFERROR(SUMPRODUCT((COUNTIF($D$2:$D$648,$D$2:$D$648)&gt;COUNTIF($D$2:$D$648,D482))/COUNTIF($D$2:$D$648,$D$2:$D$648))+1,"")</f>
        <v>24.999999999999957</v>
      </c>
    </row>
    <row r="483" spans="1:12" x14ac:dyDescent="0.3">
      <c r="A483" t="s">
        <v>197</v>
      </c>
      <c r="B483" s="3">
        <v>46035</v>
      </c>
      <c r="C483" t="s">
        <v>812</v>
      </c>
      <c r="D483" t="s">
        <v>144</v>
      </c>
      <c r="E483" t="s">
        <v>84</v>
      </c>
      <c r="F483" t="s">
        <v>697</v>
      </c>
      <c r="G483" t="s">
        <v>244</v>
      </c>
      <c r="H483" t="s">
        <v>11</v>
      </c>
      <c r="I483">
        <v>5</v>
      </c>
      <c r="J483" t="s">
        <v>44</v>
      </c>
      <c r="K483">
        <f t="shared" si="7"/>
        <v>9</v>
      </c>
      <c r="L483" cm="1">
        <f t="array" ref="L483">IFERROR(SUMPRODUCT((COUNTIF($D$2:$D$648,$D$2:$D$648)&gt;COUNTIF($D$2:$D$648,D483))/COUNTIF($D$2:$D$648,$D$2:$D$648))+1,"")</f>
        <v>21.999999999999968</v>
      </c>
    </row>
    <row r="484" spans="1:12" x14ac:dyDescent="0.3">
      <c r="A484" t="s">
        <v>197</v>
      </c>
      <c r="B484" s="3">
        <v>46035</v>
      </c>
      <c r="C484" t="s">
        <v>812</v>
      </c>
      <c r="D484" t="s">
        <v>105</v>
      </c>
      <c r="E484" t="s">
        <v>67</v>
      </c>
      <c r="F484" t="s">
        <v>698</v>
      </c>
      <c r="G484" t="s">
        <v>259</v>
      </c>
      <c r="H484" t="s">
        <v>11</v>
      </c>
      <c r="I484">
        <v>5</v>
      </c>
      <c r="J484" t="s">
        <v>12</v>
      </c>
      <c r="K484">
        <f t="shared" si="7"/>
        <v>20</v>
      </c>
      <c r="L484" cm="1">
        <f t="array" ref="L484">IFERROR(SUMPRODUCT((COUNTIF($D$2:$D$648,$D$2:$D$648)&gt;COUNTIF($D$2:$D$648,D484))/COUNTIF($D$2:$D$648,$D$2:$D$648))+1,"")</f>
        <v>3.0000000000000009</v>
      </c>
    </row>
    <row r="485" spans="1:12" x14ac:dyDescent="0.3">
      <c r="A485" t="s">
        <v>197</v>
      </c>
      <c r="B485" s="3">
        <v>46035</v>
      </c>
      <c r="C485" t="s">
        <v>812</v>
      </c>
      <c r="D485" t="s">
        <v>16</v>
      </c>
      <c r="E485" t="s">
        <v>200</v>
      </c>
      <c r="F485" t="s">
        <v>344</v>
      </c>
      <c r="G485" t="s">
        <v>219</v>
      </c>
      <c r="H485" t="s">
        <v>11</v>
      </c>
      <c r="I485">
        <v>5</v>
      </c>
      <c r="J485" t="s">
        <v>18</v>
      </c>
      <c r="K485">
        <f t="shared" si="7"/>
        <v>10</v>
      </c>
      <c r="L485" cm="1">
        <f t="array" ref="L485">IFERROR(SUMPRODUCT((COUNTIF($D$2:$D$648,$D$2:$D$648)&gt;COUNTIF($D$2:$D$648,D485))/COUNTIF($D$2:$D$648,$D$2:$D$648))+1,"")</f>
        <v>17.999999999999975</v>
      </c>
    </row>
    <row r="486" spans="1:12" x14ac:dyDescent="0.3">
      <c r="A486" t="s">
        <v>197</v>
      </c>
      <c r="B486" s="3">
        <v>46036</v>
      </c>
      <c r="C486" t="s">
        <v>814</v>
      </c>
      <c r="D486" t="s">
        <v>79</v>
      </c>
      <c r="E486" t="s">
        <v>157</v>
      </c>
      <c r="F486" t="s">
        <v>345</v>
      </c>
      <c r="G486" t="s">
        <v>222</v>
      </c>
      <c r="H486" t="s">
        <v>11</v>
      </c>
      <c r="I486">
        <v>3</v>
      </c>
      <c r="J486" t="s">
        <v>28</v>
      </c>
      <c r="K486">
        <f t="shared" si="7"/>
        <v>8</v>
      </c>
      <c r="L486" cm="1">
        <f t="array" ref="L486">IFERROR(SUMPRODUCT((COUNTIF($D$2:$D$648,$D$2:$D$648)&gt;COUNTIF($D$2:$D$648,D486))/COUNTIF($D$2:$D$648,$D$2:$D$648))+1,"")</f>
        <v>24.999999999999957</v>
      </c>
    </row>
    <row r="487" spans="1:12" x14ac:dyDescent="0.3">
      <c r="A487" t="s">
        <v>197</v>
      </c>
      <c r="B487" s="3">
        <v>46036</v>
      </c>
      <c r="C487" t="s">
        <v>814</v>
      </c>
      <c r="D487" t="s">
        <v>52</v>
      </c>
      <c r="E487" t="s">
        <v>53</v>
      </c>
      <c r="F487" t="s">
        <v>346</v>
      </c>
      <c r="G487" t="s">
        <v>230</v>
      </c>
      <c r="H487" t="s">
        <v>11</v>
      </c>
      <c r="I487">
        <v>3</v>
      </c>
      <c r="J487" t="s">
        <v>28</v>
      </c>
      <c r="K487">
        <f t="shared" si="7"/>
        <v>11</v>
      </c>
      <c r="L487" cm="1">
        <f t="array" ref="L487">IFERROR(SUMPRODUCT((COUNTIF($D$2:$D$648,$D$2:$D$648)&gt;COUNTIF($D$2:$D$648,D487))/COUNTIF($D$2:$D$648,$D$2:$D$648))+1,"")</f>
        <v>11.999999999999961</v>
      </c>
    </row>
    <row r="488" spans="1:12" x14ac:dyDescent="0.3">
      <c r="A488" t="s">
        <v>197</v>
      </c>
      <c r="B488" s="3">
        <v>46036</v>
      </c>
      <c r="C488" t="s">
        <v>814</v>
      </c>
      <c r="D488" t="s">
        <v>109</v>
      </c>
      <c r="E488" t="s">
        <v>23</v>
      </c>
      <c r="F488" t="s">
        <v>699</v>
      </c>
      <c r="G488" t="s">
        <v>261</v>
      </c>
      <c r="H488" t="s">
        <v>11</v>
      </c>
      <c r="I488">
        <v>4</v>
      </c>
      <c r="J488" t="s">
        <v>30</v>
      </c>
      <c r="K488">
        <f t="shared" si="7"/>
        <v>3</v>
      </c>
      <c r="L488" cm="1">
        <f t="array" ref="L488">IFERROR(SUMPRODUCT((COUNTIF($D$2:$D$648,$D$2:$D$648)&gt;COUNTIF($D$2:$D$648,D488))/COUNTIF($D$2:$D$648,$D$2:$D$648))+1,"")</f>
        <v>58.000000000000348</v>
      </c>
    </row>
    <row r="489" spans="1:12" x14ac:dyDescent="0.3">
      <c r="A489" t="s">
        <v>197</v>
      </c>
      <c r="B489" s="3">
        <v>46036</v>
      </c>
      <c r="C489" t="s">
        <v>814</v>
      </c>
      <c r="D489" t="s">
        <v>126</v>
      </c>
      <c r="E489" t="s">
        <v>14</v>
      </c>
      <c r="F489" t="s">
        <v>691</v>
      </c>
      <c r="G489" t="s">
        <v>266</v>
      </c>
      <c r="H489" t="s">
        <v>11</v>
      </c>
      <c r="I489">
        <v>3</v>
      </c>
      <c r="J489" t="s">
        <v>98</v>
      </c>
      <c r="K489">
        <f t="shared" si="7"/>
        <v>25</v>
      </c>
      <c r="L489" cm="1">
        <f t="array" ref="L489">IFERROR(SUMPRODUCT((COUNTIF($D$2:$D$648,$D$2:$D$648)&gt;COUNTIF($D$2:$D$648,D489))/COUNTIF($D$2:$D$648,$D$2:$D$648))+1,"")</f>
        <v>2.0000000000000004</v>
      </c>
    </row>
    <row r="490" spans="1:12" x14ac:dyDescent="0.3">
      <c r="A490" t="s">
        <v>197</v>
      </c>
      <c r="B490" s="3">
        <v>46036</v>
      </c>
      <c r="C490" t="s">
        <v>814</v>
      </c>
      <c r="D490" t="s">
        <v>201</v>
      </c>
      <c r="E490" t="s">
        <v>20</v>
      </c>
      <c r="F490" t="s">
        <v>700</v>
      </c>
      <c r="G490" t="s">
        <v>248</v>
      </c>
      <c r="H490" t="s">
        <v>11</v>
      </c>
      <c r="I490">
        <v>3</v>
      </c>
      <c r="J490" t="s">
        <v>28</v>
      </c>
      <c r="K490">
        <f t="shared" si="7"/>
        <v>9</v>
      </c>
      <c r="L490" cm="1">
        <f t="array" ref="L490">IFERROR(SUMPRODUCT((COUNTIF($D$2:$D$648,$D$2:$D$648)&gt;COUNTIF($D$2:$D$648,D490))/COUNTIF($D$2:$D$648,$D$2:$D$648))+1,"")</f>
        <v>21.999999999999968</v>
      </c>
    </row>
    <row r="491" spans="1:12" x14ac:dyDescent="0.3">
      <c r="A491" t="s">
        <v>197</v>
      </c>
      <c r="B491" s="3">
        <v>46036</v>
      </c>
      <c r="C491" t="s">
        <v>814</v>
      </c>
      <c r="D491" t="s">
        <v>48</v>
      </c>
      <c r="E491" t="s">
        <v>17</v>
      </c>
      <c r="F491" t="s">
        <v>701</v>
      </c>
      <c r="G491" t="s">
        <v>228</v>
      </c>
      <c r="H491" t="s">
        <v>11</v>
      </c>
      <c r="I491">
        <v>3</v>
      </c>
      <c r="J491" t="s">
        <v>29</v>
      </c>
      <c r="K491">
        <f t="shared" si="7"/>
        <v>18</v>
      </c>
      <c r="L491" cm="1">
        <f t="array" ref="L491">IFERROR(SUMPRODUCT((COUNTIF($D$2:$D$648,$D$2:$D$648)&gt;COUNTIF($D$2:$D$648,D491))/COUNTIF($D$2:$D$648,$D$2:$D$648))+1,"")</f>
        <v>5.0000000000000009</v>
      </c>
    </row>
    <row r="492" spans="1:12" x14ac:dyDescent="0.3">
      <c r="A492" t="s">
        <v>197</v>
      </c>
      <c r="B492" s="3">
        <v>46036</v>
      </c>
      <c r="C492" t="s">
        <v>814</v>
      </c>
      <c r="D492" t="s">
        <v>202</v>
      </c>
      <c r="E492" t="s">
        <v>84</v>
      </c>
      <c r="F492" t="s">
        <v>702</v>
      </c>
      <c r="G492" t="s">
        <v>225</v>
      </c>
      <c r="H492" t="s">
        <v>11</v>
      </c>
      <c r="I492">
        <v>4</v>
      </c>
      <c r="J492" t="s">
        <v>30</v>
      </c>
      <c r="K492">
        <f t="shared" si="7"/>
        <v>1</v>
      </c>
      <c r="L492" cm="1">
        <f t="array" ref="L492">IFERROR(SUMPRODUCT((COUNTIF($D$2:$D$648,$D$2:$D$648)&gt;COUNTIF($D$2:$D$648,D492))/COUNTIF($D$2:$D$648,$D$2:$D$648))+1,"")</f>
        <v>80.000000000000426</v>
      </c>
    </row>
    <row r="493" spans="1:12" x14ac:dyDescent="0.3">
      <c r="A493" t="s">
        <v>197</v>
      </c>
      <c r="B493" s="3">
        <v>46037</v>
      </c>
      <c r="C493" t="s">
        <v>817</v>
      </c>
      <c r="D493" t="s">
        <v>79</v>
      </c>
      <c r="E493" t="s">
        <v>36</v>
      </c>
      <c r="F493" t="s">
        <v>345</v>
      </c>
      <c r="G493" t="s">
        <v>222</v>
      </c>
      <c r="H493" t="s">
        <v>11</v>
      </c>
      <c r="I493">
        <v>3</v>
      </c>
      <c r="J493" t="s">
        <v>35</v>
      </c>
      <c r="K493">
        <f t="shared" si="7"/>
        <v>8</v>
      </c>
      <c r="L493" cm="1">
        <f t="array" ref="L493">IFERROR(SUMPRODUCT((COUNTIF($D$2:$D$648,$D$2:$D$648)&gt;COUNTIF($D$2:$D$648,D493))/COUNTIF($D$2:$D$648,$D$2:$D$648))+1,"")</f>
        <v>24.999999999999957</v>
      </c>
    </row>
    <row r="494" spans="1:12" x14ac:dyDescent="0.3">
      <c r="A494" t="s">
        <v>197</v>
      </c>
      <c r="B494" s="3">
        <v>46037</v>
      </c>
      <c r="C494" t="s">
        <v>817</v>
      </c>
      <c r="D494" t="s">
        <v>52</v>
      </c>
      <c r="E494" t="s">
        <v>17</v>
      </c>
      <c r="F494" t="s">
        <v>703</v>
      </c>
      <c r="G494" t="s">
        <v>230</v>
      </c>
      <c r="H494" t="s">
        <v>11</v>
      </c>
      <c r="I494">
        <v>3</v>
      </c>
      <c r="J494" t="s">
        <v>37</v>
      </c>
      <c r="K494">
        <f t="shared" si="7"/>
        <v>11</v>
      </c>
      <c r="L494" cm="1">
        <f t="array" ref="L494">IFERROR(SUMPRODUCT((COUNTIF($D$2:$D$648,$D$2:$D$648)&gt;COUNTIF($D$2:$D$648,D494))/COUNTIF($D$2:$D$648,$D$2:$D$648))+1,"")</f>
        <v>11.999999999999961</v>
      </c>
    </row>
    <row r="495" spans="1:12" x14ac:dyDescent="0.3">
      <c r="A495" t="s">
        <v>197</v>
      </c>
      <c r="B495" s="3">
        <v>46037</v>
      </c>
      <c r="C495" t="s">
        <v>817</v>
      </c>
      <c r="D495" t="s">
        <v>109</v>
      </c>
      <c r="E495" t="s">
        <v>23</v>
      </c>
      <c r="F495" t="s">
        <v>699</v>
      </c>
      <c r="G495" t="s">
        <v>261</v>
      </c>
      <c r="H495" t="s">
        <v>11</v>
      </c>
      <c r="I495">
        <v>3</v>
      </c>
      <c r="J495" t="s">
        <v>35</v>
      </c>
      <c r="K495">
        <f t="shared" si="7"/>
        <v>3</v>
      </c>
      <c r="L495" cm="1">
        <f t="array" ref="L495">IFERROR(SUMPRODUCT((COUNTIF($D$2:$D$648,$D$2:$D$648)&gt;COUNTIF($D$2:$D$648,D495))/COUNTIF($D$2:$D$648,$D$2:$D$648))+1,"")</f>
        <v>58.000000000000348</v>
      </c>
    </row>
    <row r="496" spans="1:12" x14ac:dyDescent="0.3">
      <c r="A496" t="s">
        <v>197</v>
      </c>
      <c r="B496" s="3">
        <v>46037</v>
      </c>
      <c r="C496" t="s">
        <v>817</v>
      </c>
      <c r="D496" t="s">
        <v>126</v>
      </c>
      <c r="E496" t="s">
        <v>20</v>
      </c>
      <c r="F496" t="s">
        <v>704</v>
      </c>
      <c r="G496" t="s">
        <v>266</v>
      </c>
      <c r="H496" t="s">
        <v>11</v>
      </c>
      <c r="I496">
        <v>3</v>
      </c>
      <c r="J496" t="s">
        <v>35</v>
      </c>
      <c r="K496">
        <f t="shared" si="7"/>
        <v>25</v>
      </c>
      <c r="L496" cm="1">
        <f t="array" ref="L496">IFERROR(SUMPRODUCT((COUNTIF($D$2:$D$648,$D$2:$D$648)&gt;COUNTIF($D$2:$D$648,D496))/COUNTIF($D$2:$D$648,$D$2:$D$648))+1,"")</f>
        <v>2.0000000000000004</v>
      </c>
    </row>
    <row r="497" spans="1:12" x14ac:dyDescent="0.3">
      <c r="A497" t="s">
        <v>197</v>
      </c>
      <c r="B497" s="3">
        <v>46037</v>
      </c>
      <c r="C497" t="s">
        <v>817</v>
      </c>
      <c r="D497" t="s">
        <v>201</v>
      </c>
      <c r="E497" t="s">
        <v>14</v>
      </c>
      <c r="F497" t="s">
        <v>705</v>
      </c>
      <c r="G497" t="s">
        <v>248</v>
      </c>
      <c r="H497" t="s">
        <v>11</v>
      </c>
      <c r="I497">
        <v>3</v>
      </c>
      <c r="J497" t="s">
        <v>35</v>
      </c>
      <c r="K497">
        <f t="shared" si="7"/>
        <v>9</v>
      </c>
      <c r="L497" cm="1">
        <f t="array" ref="L497">IFERROR(SUMPRODUCT((COUNTIF($D$2:$D$648,$D$2:$D$648)&gt;COUNTIF($D$2:$D$648,D497))/COUNTIF($D$2:$D$648,$D$2:$D$648))+1,"")</f>
        <v>21.999999999999968</v>
      </c>
    </row>
    <row r="498" spans="1:12" x14ac:dyDescent="0.3">
      <c r="A498" t="s">
        <v>197</v>
      </c>
      <c r="B498" s="3">
        <v>46037</v>
      </c>
      <c r="C498" t="s">
        <v>817</v>
      </c>
      <c r="D498" t="s">
        <v>19</v>
      </c>
      <c r="E498" t="s">
        <v>84</v>
      </c>
      <c r="F498" t="s">
        <v>706</v>
      </c>
      <c r="G498" t="s">
        <v>220</v>
      </c>
      <c r="H498" t="s">
        <v>11</v>
      </c>
      <c r="I498">
        <v>3</v>
      </c>
      <c r="J498" t="s">
        <v>35</v>
      </c>
      <c r="K498">
        <f t="shared" si="7"/>
        <v>8</v>
      </c>
      <c r="L498" cm="1">
        <f t="array" ref="L498">IFERROR(SUMPRODUCT((COUNTIF($D$2:$D$648,$D$2:$D$648)&gt;COUNTIF($D$2:$D$648,D498))/COUNTIF($D$2:$D$648,$D$2:$D$648))+1,"")</f>
        <v>24.999999999999957</v>
      </c>
    </row>
    <row r="499" spans="1:12" x14ac:dyDescent="0.3">
      <c r="A499" t="s">
        <v>197</v>
      </c>
      <c r="B499" s="3">
        <v>46038</v>
      </c>
      <c r="C499" t="s">
        <v>815</v>
      </c>
      <c r="D499" t="s">
        <v>77</v>
      </c>
      <c r="E499" t="s">
        <v>14</v>
      </c>
      <c r="F499" t="s">
        <v>707</v>
      </c>
      <c r="G499" t="s">
        <v>246</v>
      </c>
      <c r="H499" t="s">
        <v>11</v>
      </c>
      <c r="I499">
        <v>5</v>
      </c>
      <c r="J499" t="s">
        <v>44</v>
      </c>
      <c r="K499">
        <f t="shared" si="7"/>
        <v>7</v>
      </c>
      <c r="L499" cm="1">
        <f t="array" ref="L499">IFERROR(SUMPRODUCT((COUNTIF($D$2:$D$648,$D$2:$D$648)&gt;COUNTIF($D$2:$D$648,D499))/COUNTIF($D$2:$D$648,$D$2:$D$648))+1,"")</f>
        <v>31.999999999999968</v>
      </c>
    </row>
    <row r="500" spans="1:12" x14ac:dyDescent="0.3">
      <c r="A500" t="s">
        <v>197</v>
      </c>
      <c r="B500" s="3">
        <v>46038</v>
      </c>
      <c r="C500" t="s">
        <v>815</v>
      </c>
      <c r="D500" t="s">
        <v>117</v>
      </c>
      <c r="E500" t="s">
        <v>67</v>
      </c>
      <c r="F500" t="s">
        <v>708</v>
      </c>
      <c r="G500" t="s">
        <v>264</v>
      </c>
      <c r="H500" t="s">
        <v>11</v>
      </c>
      <c r="I500">
        <v>5</v>
      </c>
      <c r="J500" t="s">
        <v>44</v>
      </c>
      <c r="K500">
        <f t="shared" si="7"/>
        <v>8</v>
      </c>
      <c r="L500" cm="1">
        <f t="array" ref="L500">IFERROR(SUMPRODUCT((COUNTIF($D$2:$D$648,$D$2:$D$648)&gt;COUNTIF($D$2:$D$648,D500))/COUNTIF($D$2:$D$648,$D$2:$D$648))+1,"")</f>
        <v>24.999999999999957</v>
      </c>
    </row>
    <row r="501" spans="1:12" x14ac:dyDescent="0.3">
      <c r="A501" t="s">
        <v>197</v>
      </c>
      <c r="B501" s="3">
        <v>46038</v>
      </c>
      <c r="C501" t="s">
        <v>815</v>
      </c>
      <c r="D501" t="s">
        <v>126</v>
      </c>
      <c r="E501" t="s">
        <v>20</v>
      </c>
      <c r="F501" t="s">
        <v>704</v>
      </c>
      <c r="G501" t="s">
        <v>266</v>
      </c>
      <c r="H501" t="s">
        <v>11</v>
      </c>
      <c r="I501">
        <v>5</v>
      </c>
      <c r="J501" t="s">
        <v>75</v>
      </c>
      <c r="K501">
        <f t="shared" si="7"/>
        <v>25</v>
      </c>
      <c r="L501" cm="1">
        <f t="array" ref="L501">IFERROR(SUMPRODUCT((COUNTIF($D$2:$D$648,$D$2:$D$648)&gt;COUNTIF($D$2:$D$648,D501))/COUNTIF($D$2:$D$648,$D$2:$D$648))+1,"")</f>
        <v>2.0000000000000004</v>
      </c>
    </row>
    <row r="502" spans="1:12" x14ac:dyDescent="0.3">
      <c r="A502" t="s">
        <v>197</v>
      </c>
      <c r="B502" s="3">
        <v>46038</v>
      </c>
      <c r="C502" t="s">
        <v>815</v>
      </c>
      <c r="D502" t="s">
        <v>201</v>
      </c>
      <c r="E502" t="s">
        <v>17</v>
      </c>
      <c r="F502" t="s">
        <v>709</v>
      </c>
      <c r="G502" t="s">
        <v>248</v>
      </c>
      <c r="H502" t="s">
        <v>11</v>
      </c>
      <c r="I502">
        <v>5</v>
      </c>
      <c r="J502" t="s">
        <v>21</v>
      </c>
      <c r="K502">
        <f t="shared" si="7"/>
        <v>9</v>
      </c>
      <c r="L502" cm="1">
        <f t="array" ref="L502">IFERROR(SUMPRODUCT((COUNTIF($D$2:$D$648,$D$2:$D$648)&gt;COUNTIF($D$2:$D$648,D502))/COUNTIF($D$2:$D$648,$D$2:$D$648))+1,"")</f>
        <v>21.999999999999968</v>
      </c>
    </row>
    <row r="503" spans="1:12" x14ac:dyDescent="0.3">
      <c r="A503" t="s">
        <v>197</v>
      </c>
      <c r="B503" s="3">
        <v>46038</v>
      </c>
      <c r="C503" t="s">
        <v>815</v>
      </c>
      <c r="D503" t="s">
        <v>33</v>
      </c>
      <c r="E503" t="s">
        <v>23</v>
      </c>
      <c r="F503" t="s">
        <v>710</v>
      </c>
      <c r="G503" t="s">
        <v>224</v>
      </c>
      <c r="H503" t="s">
        <v>11</v>
      </c>
      <c r="I503">
        <v>5</v>
      </c>
      <c r="J503" t="s">
        <v>49</v>
      </c>
      <c r="K503">
        <f t="shared" si="7"/>
        <v>10</v>
      </c>
      <c r="L503" cm="1">
        <f t="array" ref="L503">IFERROR(SUMPRODUCT((COUNTIF($D$2:$D$648,$D$2:$D$648)&gt;COUNTIF($D$2:$D$648,D503))/COUNTIF($D$2:$D$648,$D$2:$D$648))+1,"")</f>
        <v>17.999999999999975</v>
      </c>
    </row>
    <row r="504" spans="1:12" x14ac:dyDescent="0.3">
      <c r="A504" t="s">
        <v>197</v>
      </c>
      <c r="B504" s="3">
        <v>46038</v>
      </c>
      <c r="C504" t="s">
        <v>815</v>
      </c>
      <c r="D504" t="s">
        <v>203</v>
      </c>
      <c r="E504" t="s">
        <v>84</v>
      </c>
      <c r="F504" t="s">
        <v>711</v>
      </c>
      <c r="G504" t="s">
        <v>225</v>
      </c>
      <c r="H504" t="s">
        <v>11</v>
      </c>
      <c r="I504">
        <v>7</v>
      </c>
      <c r="J504" t="s">
        <v>15</v>
      </c>
      <c r="K504">
        <f t="shared" si="7"/>
        <v>1</v>
      </c>
      <c r="L504" cm="1">
        <f t="array" ref="L504">IFERROR(SUMPRODUCT((COUNTIF($D$2:$D$648,$D$2:$D$648)&gt;COUNTIF($D$2:$D$648,D504))/COUNTIF($D$2:$D$648,$D$2:$D$648))+1,"")</f>
        <v>80.000000000000426</v>
      </c>
    </row>
    <row r="505" spans="1:12" x14ac:dyDescent="0.3">
      <c r="A505" t="s">
        <v>197</v>
      </c>
      <c r="B505" s="3">
        <v>46038</v>
      </c>
      <c r="C505" t="s">
        <v>815</v>
      </c>
      <c r="D505" t="s">
        <v>92</v>
      </c>
      <c r="E505" t="s">
        <v>84</v>
      </c>
      <c r="F505" t="s">
        <v>712</v>
      </c>
      <c r="G505" t="s">
        <v>225</v>
      </c>
      <c r="H505" t="s">
        <v>11</v>
      </c>
      <c r="I505">
        <v>7</v>
      </c>
      <c r="J505" t="s">
        <v>15</v>
      </c>
      <c r="K505">
        <f t="shared" si="7"/>
        <v>4</v>
      </c>
      <c r="L505" cm="1">
        <f t="array" ref="L505">IFERROR(SUMPRODUCT((COUNTIF($D$2:$D$648,$D$2:$D$648)&gt;COUNTIF($D$2:$D$648,D505))/COUNTIF($D$2:$D$648,$D$2:$D$648))+1,"")</f>
        <v>52.000000000000306</v>
      </c>
    </row>
    <row r="506" spans="1:12" x14ac:dyDescent="0.3">
      <c r="A506" t="s">
        <v>197</v>
      </c>
      <c r="B506" s="3">
        <v>46038</v>
      </c>
      <c r="C506" t="s">
        <v>815</v>
      </c>
      <c r="D506" t="s">
        <v>106</v>
      </c>
      <c r="E506" t="s">
        <v>179</v>
      </c>
      <c r="F506" t="s">
        <v>347</v>
      </c>
      <c r="G506" t="s">
        <v>260</v>
      </c>
      <c r="H506" t="s">
        <v>11</v>
      </c>
      <c r="I506">
        <v>5</v>
      </c>
      <c r="J506" t="s">
        <v>90</v>
      </c>
      <c r="K506">
        <f t="shared" si="7"/>
        <v>8</v>
      </c>
      <c r="L506" cm="1">
        <f t="array" ref="L506">IFERROR(SUMPRODUCT((COUNTIF($D$2:$D$648,$D$2:$D$648)&gt;COUNTIF($D$2:$D$648,D506))/COUNTIF($D$2:$D$648,$D$2:$D$648))+1,"")</f>
        <v>24.999999999999957</v>
      </c>
    </row>
    <row r="507" spans="1:12" x14ac:dyDescent="0.3">
      <c r="A507" t="s">
        <v>197</v>
      </c>
      <c r="B507" s="3">
        <v>46038</v>
      </c>
      <c r="C507" t="s">
        <v>815</v>
      </c>
      <c r="D507" t="s">
        <v>48</v>
      </c>
      <c r="E507" t="s">
        <v>348</v>
      </c>
      <c r="F507" t="s">
        <v>348</v>
      </c>
      <c r="G507" t="s">
        <v>228</v>
      </c>
      <c r="H507" t="s">
        <v>11</v>
      </c>
      <c r="I507">
        <v>5</v>
      </c>
      <c r="J507" t="s">
        <v>49</v>
      </c>
      <c r="K507">
        <f t="shared" si="7"/>
        <v>18</v>
      </c>
      <c r="L507" cm="1">
        <f t="array" ref="L507">IFERROR(SUMPRODUCT((COUNTIF($D$2:$D$648,$D$2:$D$648)&gt;COUNTIF($D$2:$D$648,D507))/COUNTIF($D$2:$D$648,$D$2:$D$648))+1,"")</f>
        <v>5.0000000000000009</v>
      </c>
    </row>
    <row r="508" spans="1:12" x14ac:dyDescent="0.3">
      <c r="A508" t="s">
        <v>197</v>
      </c>
      <c r="B508" s="3">
        <v>46042</v>
      </c>
      <c r="C508" t="s">
        <v>812</v>
      </c>
      <c r="D508" t="s">
        <v>121</v>
      </c>
      <c r="E508" t="s">
        <v>14</v>
      </c>
      <c r="F508" t="s">
        <v>713</v>
      </c>
      <c r="G508" t="s">
        <v>283</v>
      </c>
      <c r="H508" t="s">
        <v>11</v>
      </c>
      <c r="I508">
        <v>5</v>
      </c>
      <c r="J508" t="s">
        <v>65</v>
      </c>
      <c r="K508">
        <f t="shared" si="7"/>
        <v>8</v>
      </c>
      <c r="L508" cm="1">
        <f t="array" ref="L508">IFERROR(SUMPRODUCT((COUNTIF($D$2:$D$648,$D$2:$D$648)&gt;COUNTIF($D$2:$D$648,D508))/COUNTIF($D$2:$D$648,$D$2:$D$648))+1,"")</f>
        <v>24.999999999999957</v>
      </c>
    </row>
    <row r="509" spans="1:12" x14ac:dyDescent="0.3">
      <c r="A509" t="s">
        <v>197</v>
      </c>
      <c r="B509" s="3">
        <v>46042</v>
      </c>
      <c r="C509" t="s">
        <v>812</v>
      </c>
      <c r="D509" t="s">
        <v>106</v>
      </c>
      <c r="E509" t="s">
        <v>67</v>
      </c>
      <c r="G509" t="s">
        <v>260</v>
      </c>
      <c r="H509" t="s">
        <v>11</v>
      </c>
      <c r="I509">
        <v>5</v>
      </c>
      <c r="J509" t="s">
        <v>90</v>
      </c>
      <c r="K509">
        <f t="shared" si="7"/>
        <v>8</v>
      </c>
      <c r="L509" cm="1">
        <f t="array" ref="L509">IFERROR(SUMPRODUCT((COUNTIF($D$2:$D$648,$D$2:$D$648)&gt;COUNTIF($D$2:$D$648,D509))/COUNTIF($D$2:$D$648,$D$2:$D$648))+1,"")</f>
        <v>24.999999999999957</v>
      </c>
    </row>
    <row r="510" spans="1:12" x14ac:dyDescent="0.3">
      <c r="A510" t="s">
        <v>197</v>
      </c>
      <c r="B510" s="3">
        <v>46042</v>
      </c>
      <c r="C510" t="s">
        <v>812</v>
      </c>
      <c r="D510" t="s">
        <v>126</v>
      </c>
      <c r="E510" t="s">
        <v>23</v>
      </c>
      <c r="F510" t="s">
        <v>714</v>
      </c>
      <c r="G510" t="s">
        <v>266</v>
      </c>
      <c r="H510" t="s">
        <v>11</v>
      </c>
      <c r="I510">
        <v>5</v>
      </c>
      <c r="J510" t="s">
        <v>75</v>
      </c>
      <c r="K510">
        <f t="shared" si="7"/>
        <v>25</v>
      </c>
      <c r="L510" cm="1">
        <f t="array" ref="L510">IFERROR(SUMPRODUCT((COUNTIF($D$2:$D$648,$D$2:$D$648)&gt;COUNTIF($D$2:$D$648,D510))/COUNTIF($D$2:$D$648,$D$2:$D$648))+1,"")</f>
        <v>2.0000000000000004</v>
      </c>
    </row>
    <row r="511" spans="1:12" x14ac:dyDescent="0.3">
      <c r="A511" t="s">
        <v>197</v>
      </c>
      <c r="B511" s="3">
        <v>46042</v>
      </c>
      <c r="C511" t="s">
        <v>812</v>
      </c>
      <c r="D511" t="s">
        <v>201</v>
      </c>
      <c r="E511" t="s">
        <v>20</v>
      </c>
      <c r="F511" t="s">
        <v>715</v>
      </c>
      <c r="G511" t="s">
        <v>248</v>
      </c>
      <c r="H511" t="s">
        <v>11</v>
      </c>
      <c r="I511">
        <v>5</v>
      </c>
      <c r="J511" t="s">
        <v>21</v>
      </c>
      <c r="K511">
        <f t="shared" si="7"/>
        <v>9</v>
      </c>
      <c r="L511" cm="1">
        <f t="array" ref="L511">IFERROR(SUMPRODUCT((COUNTIF($D$2:$D$648,$D$2:$D$648)&gt;COUNTIF($D$2:$D$648,D511))/COUNTIF($D$2:$D$648,$D$2:$D$648))+1,"")</f>
        <v>21.999999999999968</v>
      </c>
    </row>
    <row r="512" spans="1:12" x14ac:dyDescent="0.3">
      <c r="A512" t="s">
        <v>197</v>
      </c>
      <c r="B512" s="3">
        <v>46042</v>
      </c>
      <c r="C512" t="s">
        <v>812</v>
      </c>
      <c r="D512" t="s">
        <v>204</v>
      </c>
      <c r="E512" t="s">
        <v>17</v>
      </c>
      <c r="G512" t="s">
        <v>237</v>
      </c>
      <c r="H512" t="s">
        <v>11</v>
      </c>
      <c r="I512">
        <v>5</v>
      </c>
      <c r="J512" t="s">
        <v>65</v>
      </c>
      <c r="K512">
        <f t="shared" si="7"/>
        <v>2</v>
      </c>
      <c r="L512" cm="1">
        <f t="array" ref="L512">IFERROR(SUMPRODUCT((COUNTIF($D$2:$D$648,$D$2:$D$648)&gt;COUNTIF($D$2:$D$648,D512))/COUNTIF($D$2:$D$648,$D$2:$D$648))+1,"")</f>
        <v>65.000000000000426</v>
      </c>
    </row>
    <row r="513" spans="1:12" x14ac:dyDescent="0.3">
      <c r="A513" t="s">
        <v>197</v>
      </c>
      <c r="B513" s="3">
        <v>46043</v>
      </c>
      <c r="C513" t="s">
        <v>814</v>
      </c>
      <c r="D513" t="s">
        <v>126</v>
      </c>
      <c r="E513" t="s">
        <v>23</v>
      </c>
      <c r="F513" t="s">
        <v>714</v>
      </c>
      <c r="G513" t="s">
        <v>266</v>
      </c>
      <c r="H513" t="s">
        <v>11</v>
      </c>
      <c r="I513">
        <v>3</v>
      </c>
      <c r="J513" t="s">
        <v>98</v>
      </c>
      <c r="K513">
        <f t="shared" si="7"/>
        <v>25</v>
      </c>
      <c r="L513" cm="1">
        <f t="array" ref="L513">IFERROR(SUMPRODUCT((COUNTIF($D$2:$D$648,$D$2:$D$648)&gt;COUNTIF($D$2:$D$648,D513))/COUNTIF($D$2:$D$648,$D$2:$D$648))+1,"")</f>
        <v>2.0000000000000004</v>
      </c>
    </row>
    <row r="514" spans="1:12" x14ac:dyDescent="0.3">
      <c r="A514" t="s">
        <v>197</v>
      </c>
      <c r="B514" s="3">
        <v>46043</v>
      </c>
      <c r="C514" t="s">
        <v>814</v>
      </c>
      <c r="D514" t="s">
        <v>201</v>
      </c>
      <c r="E514" t="s">
        <v>20</v>
      </c>
      <c r="F514" t="s">
        <v>715</v>
      </c>
      <c r="G514" t="s">
        <v>248</v>
      </c>
      <c r="H514" t="s">
        <v>11</v>
      </c>
      <c r="I514">
        <v>3</v>
      </c>
      <c r="J514" t="s">
        <v>28</v>
      </c>
      <c r="K514">
        <f t="shared" ref="K514:K577" si="8">COUNTIF($D$2:$D$700,D514)</f>
        <v>9</v>
      </c>
      <c r="L514" cm="1">
        <f t="array" ref="L514">IFERROR(SUMPRODUCT((COUNTIF($D$2:$D$648,$D$2:$D$648)&gt;COUNTIF($D$2:$D$648,D514))/COUNTIF($D$2:$D$648,$D$2:$D$648))+1,"")</f>
        <v>21.999999999999968</v>
      </c>
    </row>
    <row r="515" spans="1:12" x14ac:dyDescent="0.3">
      <c r="A515" t="s">
        <v>197</v>
      </c>
      <c r="B515" s="3">
        <v>46043</v>
      </c>
      <c r="C515" t="s">
        <v>814</v>
      </c>
      <c r="D515" t="s">
        <v>81</v>
      </c>
      <c r="E515" t="s">
        <v>14</v>
      </c>
      <c r="F515" t="s">
        <v>716</v>
      </c>
      <c r="G515" t="s">
        <v>245</v>
      </c>
      <c r="H515" t="s">
        <v>11</v>
      </c>
      <c r="I515">
        <v>3</v>
      </c>
      <c r="J515" t="s">
        <v>28</v>
      </c>
      <c r="K515">
        <f t="shared" si="8"/>
        <v>5</v>
      </c>
      <c r="L515" cm="1">
        <f t="array" ref="L515">IFERROR(SUMPRODUCT((COUNTIF($D$2:$D$648,$D$2:$D$648)&gt;COUNTIF($D$2:$D$648,D515))/COUNTIF($D$2:$D$648,$D$2:$D$648))+1,"")</f>
        <v>43.000000000000199</v>
      </c>
    </row>
    <row r="516" spans="1:12" x14ac:dyDescent="0.3">
      <c r="A516" t="s">
        <v>197</v>
      </c>
      <c r="B516" s="3">
        <v>46043</v>
      </c>
      <c r="C516" t="s">
        <v>814</v>
      </c>
      <c r="D516" t="s">
        <v>121</v>
      </c>
      <c r="E516" t="s">
        <v>17</v>
      </c>
      <c r="F516" t="s">
        <v>717</v>
      </c>
      <c r="H516" t="s">
        <v>11</v>
      </c>
      <c r="I516">
        <v>3</v>
      </c>
      <c r="J516" t="s">
        <v>98</v>
      </c>
      <c r="K516">
        <f t="shared" si="8"/>
        <v>8</v>
      </c>
      <c r="L516" cm="1">
        <f t="array" ref="L516">IFERROR(SUMPRODUCT((COUNTIF($D$2:$D$648,$D$2:$D$648)&gt;COUNTIF($D$2:$D$648,D516))/COUNTIF($D$2:$D$648,$D$2:$D$648))+1,"")</f>
        <v>24.999999999999957</v>
      </c>
    </row>
    <row r="517" spans="1:12" x14ac:dyDescent="0.3">
      <c r="A517" t="s">
        <v>197</v>
      </c>
      <c r="B517" s="3">
        <v>46044</v>
      </c>
      <c r="C517" t="s">
        <v>817</v>
      </c>
      <c r="D517" t="s">
        <v>13</v>
      </c>
      <c r="E517" t="s">
        <v>67</v>
      </c>
      <c r="F517" t="s">
        <v>683</v>
      </c>
      <c r="G517" t="s">
        <v>218</v>
      </c>
      <c r="H517" t="s">
        <v>11</v>
      </c>
      <c r="I517">
        <v>4</v>
      </c>
      <c r="J517" t="s">
        <v>40</v>
      </c>
      <c r="K517">
        <f t="shared" si="8"/>
        <v>47</v>
      </c>
      <c r="L517" cm="1">
        <f t="array" ref="L517">IFERROR(SUMPRODUCT((COUNTIF($D$2:$D$648,$D$2:$D$648)&gt;COUNTIF($D$2:$D$648,D517))/COUNTIF($D$2:$D$648,$D$2:$D$648))+1,"")</f>
        <v>1</v>
      </c>
    </row>
    <row r="518" spans="1:12" x14ac:dyDescent="0.3">
      <c r="A518" t="s">
        <v>197</v>
      </c>
      <c r="B518" s="3">
        <v>46044</v>
      </c>
      <c r="C518" t="s">
        <v>817</v>
      </c>
      <c r="D518" t="s">
        <v>52</v>
      </c>
      <c r="E518" t="s">
        <v>23</v>
      </c>
      <c r="F518" t="s">
        <v>718</v>
      </c>
      <c r="G518" t="s">
        <v>230</v>
      </c>
      <c r="H518" t="s">
        <v>11</v>
      </c>
      <c r="I518">
        <v>3</v>
      </c>
      <c r="J518" t="s">
        <v>37</v>
      </c>
      <c r="K518">
        <f t="shared" si="8"/>
        <v>11</v>
      </c>
      <c r="L518" cm="1">
        <f t="array" ref="L518">IFERROR(SUMPRODUCT((COUNTIF($D$2:$D$648,$D$2:$D$648)&gt;COUNTIF($D$2:$D$648,D518))/COUNTIF($D$2:$D$648,$D$2:$D$648))+1,"")</f>
        <v>11.999999999999961</v>
      </c>
    </row>
    <row r="519" spans="1:12" x14ac:dyDescent="0.3">
      <c r="A519" t="s">
        <v>197</v>
      </c>
      <c r="B519" s="3">
        <v>46044</v>
      </c>
      <c r="C519" t="s">
        <v>817</v>
      </c>
      <c r="D519" t="s">
        <v>185</v>
      </c>
      <c r="E519" t="s">
        <v>14</v>
      </c>
      <c r="F519" t="s">
        <v>719</v>
      </c>
      <c r="G519" t="s">
        <v>222</v>
      </c>
      <c r="H519" t="s">
        <v>11</v>
      </c>
      <c r="I519">
        <v>3</v>
      </c>
      <c r="J519" t="s">
        <v>35</v>
      </c>
      <c r="K519">
        <f t="shared" si="8"/>
        <v>2</v>
      </c>
      <c r="L519" cm="1">
        <f t="array" ref="L519">IFERROR(SUMPRODUCT((COUNTIF($D$2:$D$648,$D$2:$D$648)&gt;COUNTIF($D$2:$D$648,D519))/COUNTIF($D$2:$D$648,$D$2:$D$648))+1,"")</f>
        <v>65.000000000000426</v>
      </c>
    </row>
    <row r="520" spans="1:12" x14ac:dyDescent="0.3">
      <c r="A520" t="s">
        <v>197</v>
      </c>
      <c r="B520" s="3">
        <v>46044</v>
      </c>
      <c r="C520" t="s">
        <v>817</v>
      </c>
      <c r="D520" t="s">
        <v>126</v>
      </c>
      <c r="E520" t="s">
        <v>20</v>
      </c>
      <c r="F520" t="s">
        <v>720</v>
      </c>
      <c r="G520" t="s">
        <v>266</v>
      </c>
      <c r="H520" t="s">
        <v>11</v>
      </c>
      <c r="I520">
        <v>3</v>
      </c>
      <c r="J520" t="s">
        <v>35</v>
      </c>
      <c r="K520">
        <f t="shared" si="8"/>
        <v>25</v>
      </c>
      <c r="L520" cm="1">
        <f t="array" ref="L520">IFERROR(SUMPRODUCT((COUNTIF($D$2:$D$648,$D$2:$D$648)&gt;COUNTIF($D$2:$D$648,D520))/COUNTIF($D$2:$D$648,$D$2:$D$648))+1,"")</f>
        <v>2.0000000000000004</v>
      </c>
    </row>
    <row r="521" spans="1:12" x14ac:dyDescent="0.3">
      <c r="A521" t="s">
        <v>197</v>
      </c>
      <c r="B521" s="3">
        <v>46044</v>
      </c>
      <c r="C521" t="s">
        <v>817</v>
      </c>
      <c r="D521" t="s">
        <v>201</v>
      </c>
      <c r="E521" t="s">
        <v>17</v>
      </c>
      <c r="F521" t="s">
        <v>721</v>
      </c>
      <c r="G521" t="s">
        <v>248</v>
      </c>
      <c r="H521" t="s">
        <v>11</v>
      </c>
      <c r="I521">
        <v>4</v>
      </c>
      <c r="J521" t="s">
        <v>40</v>
      </c>
      <c r="K521">
        <f t="shared" si="8"/>
        <v>9</v>
      </c>
      <c r="L521" cm="1">
        <f t="array" ref="L521">IFERROR(SUMPRODUCT((COUNTIF($D$2:$D$648,$D$2:$D$648)&gt;COUNTIF($D$2:$D$648,D521))/COUNTIF($D$2:$D$648,$D$2:$D$648))+1,"")</f>
        <v>21.999999999999968</v>
      </c>
    </row>
    <row r="522" spans="1:12" x14ac:dyDescent="0.3">
      <c r="A522" t="s">
        <v>197</v>
      </c>
      <c r="B522" s="3">
        <v>46045</v>
      </c>
      <c r="C522" t="s">
        <v>815</v>
      </c>
      <c r="D522" t="s">
        <v>52</v>
      </c>
      <c r="E522" t="s">
        <v>67</v>
      </c>
      <c r="F522" t="s">
        <v>722</v>
      </c>
      <c r="G522" t="s">
        <v>251</v>
      </c>
      <c r="H522" t="s">
        <v>11</v>
      </c>
      <c r="I522">
        <v>5</v>
      </c>
      <c r="J522" t="s">
        <v>18</v>
      </c>
      <c r="K522">
        <f t="shared" si="8"/>
        <v>11</v>
      </c>
      <c r="L522" cm="1">
        <f t="array" ref="L522">IFERROR(SUMPRODUCT((COUNTIF($D$2:$D$648,$D$2:$D$648)&gt;COUNTIF($D$2:$D$648,D522))/COUNTIF($D$2:$D$648,$D$2:$D$648))+1,"")</f>
        <v>11.999999999999961</v>
      </c>
    </row>
    <row r="523" spans="1:12" x14ac:dyDescent="0.3">
      <c r="A523" t="s">
        <v>197</v>
      </c>
      <c r="B523" s="3">
        <v>46045</v>
      </c>
      <c r="C523" t="s">
        <v>815</v>
      </c>
      <c r="D523" t="s">
        <v>116</v>
      </c>
      <c r="E523" t="s">
        <v>23</v>
      </c>
      <c r="F523" t="s">
        <v>723</v>
      </c>
      <c r="G523" t="s">
        <v>263</v>
      </c>
      <c r="H523" t="s">
        <v>11</v>
      </c>
      <c r="I523">
        <v>5</v>
      </c>
      <c r="J523" t="s">
        <v>112</v>
      </c>
      <c r="K523">
        <f t="shared" si="8"/>
        <v>5</v>
      </c>
      <c r="L523" cm="1">
        <f t="array" ref="L523">IFERROR(SUMPRODUCT((COUNTIF($D$2:$D$648,$D$2:$D$648)&gt;COUNTIF($D$2:$D$648,D523))/COUNTIF($D$2:$D$648,$D$2:$D$648))+1,"")</f>
        <v>43.000000000000199</v>
      </c>
    </row>
    <row r="524" spans="1:12" x14ac:dyDescent="0.3">
      <c r="A524" t="s">
        <v>197</v>
      </c>
      <c r="B524" s="3">
        <v>46045</v>
      </c>
      <c r="C524" t="s">
        <v>815</v>
      </c>
      <c r="D524" t="s">
        <v>126</v>
      </c>
      <c r="E524" t="s">
        <v>20</v>
      </c>
      <c r="F524" t="s">
        <v>720</v>
      </c>
      <c r="G524" t="s">
        <v>266</v>
      </c>
      <c r="H524" t="s">
        <v>11</v>
      </c>
      <c r="I524">
        <v>5</v>
      </c>
      <c r="J524" t="s">
        <v>75</v>
      </c>
      <c r="K524">
        <f t="shared" si="8"/>
        <v>25</v>
      </c>
      <c r="L524" cm="1">
        <f t="array" ref="L524">IFERROR(SUMPRODUCT((COUNTIF($D$2:$D$648,$D$2:$D$648)&gt;COUNTIF($D$2:$D$648,D524))/COUNTIF($D$2:$D$648,$D$2:$D$648))+1,"")</f>
        <v>2.0000000000000004</v>
      </c>
    </row>
    <row r="525" spans="1:12" x14ac:dyDescent="0.3">
      <c r="A525" t="s">
        <v>197</v>
      </c>
      <c r="B525" s="3">
        <v>46045</v>
      </c>
      <c r="C525" t="s">
        <v>815</v>
      </c>
      <c r="D525" t="s">
        <v>201</v>
      </c>
      <c r="E525" t="s">
        <v>17</v>
      </c>
      <c r="F525" t="s">
        <v>721</v>
      </c>
      <c r="G525" t="s">
        <v>248</v>
      </c>
      <c r="H525" t="s">
        <v>11</v>
      </c>
      <c r="I525">
        <v>5</v>
      </c>
      <c r="J525" t="s">
        <v>21</v>
      </c>
      <c r="K525">
        <f t="shared" si="8"/>
        <v>9</v>
      </c>
      <c r="L525" cm="1">
        <f t="array" ref="L525">IFERROR(SUMPRODUCT((COUNTIF($D$2:$D$648,$D$2:$D$648)&gt;COUNTIF($D$2:$D$648,D525))/COUNTIF($D$2:$D$648,$D$2:$D$648))+1,"")</f>
        <v>21.999999999999968</v>
      </c>
    </row>
    <row r="526" spans="1:12" x14ac:dyDescent="0.3">
      <c r="A526" t="s">
        <v>197</v>
      </c>
      <c r="B526" s="3">
        <v>46052</v>
      </c>
      <c r="C526" t="s">
        <v>815</v>
      </c>
      <c r="D526" t="s">
        <v>55</v>
      </c>
      <c r="E526" t="s">
        <v>14</v>
      </c>
      <c r="F526" t="s">
        <v>724</v>
      </c>
      <c r="G526" t="s">
        <v>231</v>
      </c>
      <c r="H526" t="s">
        <v>11</v>
      </c>
      <c r="I526">
        <v>5</v>
      </c>
      <c r="J526" t="s">
        <v>51</v>
      </c>
      <c r="K526">
        <f t="shared" si="8"/>
        <v>7</v>
      </c>
      <c r="L526" cm="1">
        <f t="array" ref="L526">IFERROR(SUMPRODUCT((COUNTIF($D$2:$D$648,$D$2:$D$648)&gt;COUNTIF($D$2:$D$648,D526))/COUNTIF($D$2:$D$648,$D$2:$D$648))+1,"")</f>
        <v>31.999999999999968</v>
      </c>
    </row>
    <row r="527" spans="1:12" x14ac:dyDescent="0.3">
      <c r="A527" t="s">
        <v>205</v>
      </c>
      <c r="B527" s="3">
        <v>46056</v>
      </c>
      <c r="C527" t="s">
        <v>812</v>
      </c>
      <c r="D527" t="s">
        <v>78</v>
      </c>
      <c r="E527" t="s">
        <v>23</v>
      </c>
      <c r="F527" t="s">
        <v>725</v>
      </c>
      <c r="G527" t="s">
        <v>242</v>
      </c>
      <c r="H527" t="s">
        <v>11</v>
      </c>
      <c r="I527">
        <v>5</v>
      </c>
      <c r="J527" t="s">
        <v>112</v>
      </c>
      <c r="K527">
        <f t="shared" si="8"/>
        <v>7</v>
      </c>
      <c r="L527" cm="1">
        <f t="array" ref="L527">IFERROR(SUMPRODUCT((COUNTIF($D$2:$D$648,$D$2:$D$648)&gt;COUNTIF($D$2:$D$648,D527))/COUNTIF($D$2:$D$648,$D$2:$D$648))+1,"")</f>
        <v>31.999999999999968</v>
      </c>
    </row>
    <row r="528" spans="1:12" x14ac:dyDescent="0.3">
      <c r="A528" t="s">
        <v>205</v>
      </c>
      <c r="B528" s="3">
        <v>46056</v>
      </c>
      <c r="C528" t="s">
        <v>812</v>
      </c>
      <c r="D528" t="s">
        <v>126</v>
      </c>
      <c r="E528" t="s">
        <v>23</v>
      </c>
      <c r="F528" t="s">
        <v>726</v>
      </c>
      <c r="G528" t="s">
        <v>266</v>
      </c>
      <c r="H528" t="s">
        <v>11</v>
      </c>
      <c r="I528">
        <v>5</v>
      </c>
      <c r="J528" t="s">
        <v>75</v>
      </c>
      <c r="K528">
        <f t="shared" si="8"/>
        <v>25</v>
      </c>
      <c r="L528" cm="1">
        <f t="array" ref="L528">IFERROR(SUMPRODUCT((COUNTIF($D$2:$D$648,$D$2:$D$648)&gt;COUNTIF($D$2:$D$648,D528))/COUNTIF($D$2:$D$648,$D$2:$D$648))+1,"")</f>
        <v>2.0000000000000004</v>
      </c>
    </row>
    <row r="529" spans="1:12" x14ac:dyDescent="0.3">
      <c r="A529" t="s">
        <v>205</v>
      </c>
      <c r="B529" s="3">
        <v>46056</v>
      </c>
      <c r="C529" t="s">
        <v>812</v>
      </c>
      <c r="D529" t="s">
        <v>113</v>
      </c>
      <c r="E529" t="s">
        <v>67</v>
      </c>
      <c r="F529" t="s">
        <v>727</v>
      </c>
      <c r="G529" t="s">
        <v>231</v>
      </c>
      <c r="H529" t="s">
        <v>11</v>
      </c>
      <c r="I529">
        <v>5</v>
      </c>
      <c r="J529" t="s">
        <v>51</v>
      </c>
      <c r="K529">
        <f t="shared" si="8"/>
        <v>4</v>
      </c>
      <c r="L529" cm="1">
        <f t="array" ref="L529">IFERROR(SUMPRODUCT((COUNTIF($D$2:$D$648,$D$2:$D$648)&gt;COUNTIF($D$2:$D$648,D529))/COUNTIF($D$2:$D$648,$D$2:$D$648))+1,"")</f>
        <v>52.000000000000306</v>
      </c>
    </row>
    <row r="530" spans="1:12" x14ac:dyDescent="0.3">
      <c r="A530" t="s">
        <v>205</v>
      </c>
      <c r="B530" s="3">
        <v>46056</v>
      </c>
      <c r="C530" t="s">
        <v>812</v>
      </c>
      <c r="D530" t="s">
        <v>69</v>
      </c>
      <c r="E530" t="s">
        <v>67</v>
      </c>
      <c r="F530" t="s">
        <v>728</v>
      </c>
      <c r="G530" t="s">
        <v>238</v>
      </c>
      <c r="H530" t="s">
        <v>11</v>
      </c>
      <c r="I530">
        <v>5</v>
      </c>
      <c r="J530" t="s">
        <v>12</v>
      </c>
      <c r="K530">
        <f t="shared" si="8"/>
        <v>17</v>
      </c>
      <c r="L530" cm="1">
        <f t="array" ref="L530">IFERROR(SUMPRODUCT((COUNTIF($D$2:$D$648,$D$2:$D$648)&gt;COUNTIF($D$2:$D$648,D530))/COUNTIF($D$2:$D$648,$D$2:$D$648))+1,"")</f>
        <v>5.9999999999999982</v>
      </c>
    </row>
    <row r="531" spans="1:12" x14ac:dyDescent="0.3">
      <c r="A531" t="s">
        <v>205</v>
      </c>
      <c r="B531" s="3">
        <v>46056</v>
      </c>
      <c r="C531" t="s">
        <v>812</v>
      </c>
      <c r="D531" t="s">
        <v>206</v>
      </c>
      <c r="E531" t="s">
        <v>14</v>
      </c>
      <c r="F531" t="s">
        <v>729</v>
      </c>
      <c r="G531" t="s">
        <v>225</v>
      </c>
      <c r="H531" t="s">
        <v>11</v>
      </c>
      <c r="I531">
        <v>7</v>
      </c>
      <c r="J531" t="s">
        <v>15</v>
      </c>
      <c r="K531">
        <f t="shared" si="8"/>
        <v>13</v>
      </c>
      <c r="L531" cm="1">
        <f t="array" ref="L531">IFERROR(SUMPRODUCT((COUNTIF($D$2:$D$648,$D$2:$D$648)&gt;COUNTIF($D$2:$D$648,D531))/COUNTIF($D$2:$D$648,$D$2:$D$648))+1,"")</f>
        <v>7.999999999999992</v>
      </c>
    </row>
    <row r="532" spans="1:12" x14ac:dyDescent="0.3">
      <c r="A532" t="s">
        <v>205</v>
      </c>
      <c r="B532" s="3">
        <v>46056</v>
      </c>
      <c r="C532" t="s">
        <v>812</v>
      </c>
      <c r="D532" t="s">
        <v>89</v>
      </c>
      <c r="E532" t="s">
        <v>17</v>
      </c>
      <c r="F532" t="s">
        <v>730</v>
      </c>
      <c r="G532" t="s">
        <v>250</v>
      </c>
      <c r="H532" t="s">
        <v>11</v>
      </c>
      <c r="I532">
        <v>5</v>
      </c>
      <c r="J532" t="s">
        <v>90</v>
      </c>
      <c r="K532">
        <f t="shared" si="8"/>
        <v>7</v>
      </c>
      <c r="L532" cm="1">
        <f t="array" ref="L532">IFERROR(SUMPRODUCT((COUNTIF($D$2:$D$648,$D$2:$D$648)&gt;COUNTIF($D$2:$D$648,D532))/COUNTIF($D$2:$D$648,$D$2:$D$648))+1,"")</f>
        <v>31.999999999999968</v>
      </c>
    </row>
    <row r="533" spans="1:12" x14ac:dyDescent="0.3">
      <c r="A533" t="s">
        <v>205</v>
      </c>
      <c r="B533" s="3">
        <v>46056</v>
      </c>
      <c r="C533" t="s">
        <v>812</v>
      </c>
      <c r="D533" t="s">
        <v>110</v>
      </c>
      <c r="E533" t="s">
        <v>84</v>
      </c>
      <c r="F533" t="s">
        <v>731</v>
      </c>
      <c r="G533" t="s">
        <v>262</v>
      </c>
      <c r="H533" t="s">
        <v>11</v>
      </c>
      <c r="I533">
        <v>5</v>
      </c>
      <c r="J533" t="s">
        <v>90</v>
      </c>
      <c r="K533">
        <f t="shared" si="8"/>
        <v>11</v>
      </c>
      <c r="L533" cm="1">
        <f t="array" ref="L533">IFERROR(SUMPRODUCT((COUNTIF($D$2:$D$648,$D$2:$D$648)&gt;COUNTIF($D$2:$D$648,D533))/COUNTIF($D$2:$D$648,$D$2:$D$648))+1,"")</f>
        <v>11.999999999999961</v>
      </c>
    </row>
    <row r="534" spans="1:12" x14ac:dyDescent="0.3">
      <c r="A534" t="s">
        <v>205</v>
      </c>
      <c r="B534" s="3">
        <v>46056</v>
      </c>
      <c r="C534" t="s">
        <v>812</v>
      </c>
      <c r="D534" t="s">
        <v>201</v>
      </c>
      <c r="E534" t="s">
        <v>20</v>
      </c>
      <c r="F534" t="s">
        <v>732</v>
      </c>
      <c r="G534" t="s">
        <v>248</v>
      </c>
      <c r="H534" t="s">
        <v>11</v>
      </c>
      <c r="I534">
        <v>5</v>
      </c>
      <c r="J534" t="s">
        <v>21</v>
      </c>
      <c r="K534">
        <f t="shared" si="8"/>
        <v>9</v>
      </c>
      <c r="L534" cm="1">
        <f t="array" ref="L534">IFERROR(SUMPRODUCT((COUNTIF($D$2:$D$648,$D$2:$D$648)&gt;COUNTIF($D$2:$D$648,D534))/COUNTIF($D$2:$D$648,$D$2:$D$648))+1,"")</f>
        <v>21.999999999999968</v>
      </c>
    </row>
    <row r="535" spans="1:12" x14ac:dyDescent="0.3">
      <c r="A535" t="s">
        <v>205</v>
      </c>
      <c r="B535" s="3">
        <v>46057</v>
      </c>
      <c r="C535" t="s">
        <v>814</v>
      </c>
      <c r="D535" t="s">
        <v>78</v>
      </c>
      <c r="E535" t="s">
        <v>23</v>
      </c>
      <c r="F535" t="s">
        <v>725</v>
      </c>
      <c r="G535" t="s">
        <v>242</v>
      </c>
      <c r="H535" t="s">
        <v>11</v>
      </c>
      <c r="I535">
        <v>3</v>
      </c>
      <c r="J535" t="s">
        <v>28</v>
      </c>
      <c r="K535">
        <f t="shared" si="8"/>
        <v>7</v>
      </c>
      <c r="L535" cm="1">
        <f t="array" ref="L535">IFERROR(SUMPRODUCT((COUNTIF($D$2:$D$648,$D$2:$D$648)&gt;COUNTIF($D$2:$D$648,D535))/COUNTIF($D$2:$D$648,$D$2:$D$648))+1,"")</f>
        <v>31.999999999999968</v>
      </c>
    </row>
    <row r="536" spans="1:12" x14ac:dyDescent="0.3">
      <c r="A536" t="s">
        <v>205</v>
      </c>
      <c r="B536" s="3">
        <v>46057</v>
      </c>
      <c r="C536" t="s">
        <v>814</v>
      </c>
      <c r="D536" t="s">
        <v>83</v>
      </c>
      <c r="E536" t="s">
        <v>17</v>
      </c>
      <c r="F536" t="s">
        <v>733</v>
      </c>
      <c r="G536" t="s">
        <v>247</v>
      </c>
      <c r="H536" t="s">
        <v>11</v>
      </c>
      <c r="I536">
        <v>3</v>
      </c>
      <c r="J536" t="s">
        <v>28</v>
      </c>
      <c r="K536">
        <f t="shared" si="8"/>
        <v>19</v>
      </c>
      <c r="L536" cm="1">
        <f t="array" ref="L536">IFERROR(SUMPRODUCT((COUNTIF($D$2:$D$648,$D$2:$D$648)&gt;COUNTIF($D$2:$D$648,D536))/COUNTIF($D$2:$D$648,$D$2:$D$648))+1,"")</f>
        <v>4</v>
      </c>
    </row>
    <row r="537" spans="1:12" x14ac:dyDescent="0.3">
      <c r="A537" t="s">
        <v>205</v>
      </c>
      <c r="B537" s="3">
        <v>46057</v>
      </c>
      <c r="C537" t="s">
        <v>814</v>
      </c>
      <c r="D537" t="s">
        <v>206</v>
      </c>
      <c r="E537" t="s">
        <v>14</v>
      </c>
      <c r="F537" t="s">
        <v>734</v>
      </c>
      <c r="G537" t="s">
        <v>225</v>
      </c>
      <c r="H537" t="s">
        <v>11</v>
      </c>
      <c r="I537">
        <v>4</v>
      </c>
      <c r="J537" t="s">
        <v>30</v>
      </c>
      <c r="K537">
        <f t="shared" si="8"/>
        <v>13</v>
      </c>
      <c r="L537" cm="1">
        <f t="array" ref="L537">IFERROR(SUMPRODUCT((COUNTIF($D$2:$D$648,$D$2:$D$648)&gt;COUNTIF($D$2:$D$648,D537))/COUNTIF($D$2:$D$648,$D$2:$D$648))+1,"")</f>
        <v>7.999999999999992</v>
      </c>
    </row>
    <row r="538" spans="1:12" x14ac:dyDescent="0.3">
      <c r="A538" t="s">
        <v>205</v>
      </c>
      <c r="B538" s="3">
        <v>46057</v>
      </c>
      <c r="C538" t="s">
        <v>814</v>
      </c>
      <c r="D538" t="s">
        <v>126</v>
      </c>
      <c r="E538" t="s">
        <v>20</v>
      </c>
      <c r="F538" t="s">
        <v>735</v>
      </c>
      <c r="G538" t="s">
        <v>266</v>
      </c>
      <c r="H538" t="s">
        <v>11</v>
      </c>
      <c r="I538">
        <v>3</v>
      </c>
      <c r="J538" t="s">
        <v>98</v>
      </c>
      <c r="K538">
        <f t="shared" si="8"/>
        <v>25</v>
      </c>
      <c r="L538" cm="1">
        <f t="array" ref="L538">IFERROR(SUMPRODUCT((COUNTIF($D$2:$D$648,$D$2:$D$648)&gt;COUNTIF($D$2:$D$648,D538))/COUNTIF($D$2:$D$648,$D$2:$D$648))+1,"")</f>
        <v>2.0000000000000004</v>
      </c>
    </row>
    <row r="539" spans="1:12" x14ac:dyDescent="0.3">
      <c r="A539" t="s">
        <v>205</v>
      </c>
      <c r="B539" s="3">
        <v>46057</v>
      </c>
      <c r="C539" t="s">
        <v>814</v>
      </c>
      <c r="D539" t="s">
        <v>201</v>
      </c>
      <c r="E539" t="s">
        <v>67</v>
      </c>
      <c r="F539" t="s">
        <v>736</v>
      </c>
      <c r="G539" t="s">
        <v>248</v>
      </c>
      <c r="H539" t="s">
        <v>11</v>
      </c>
      <c r="I539">
        <v>3</v>
      </c>
      <c r="J539" t="s">
        <v>28</v>
      </c>
      <c r="K539">
        <f t="shared" si="8"/>
        <v>9</v>
      </c>
      <c r="L539" cm="1">
        <f t="array" ref="L539">IFERROR(SUMPRODUCT((COUNTIF($D$2:$D$648,$D$2:$D$648)&gt;COUNTIF($D$2:$D$648,D539))/COUNTIF($D$2:$D$648,$D$2:$D$648))+1,"")</f>
        <v>21.999999999999968</v>
      </c>
    </row>
    <row r="540" spans="1:12" x14ac:dyDescent="0.3">
      <c r="A540" t="s">
        <v>205</v>
      </c>
      <c r="B540" s="3">
        <v>46057</v>
      </c>
      <c r="C540" t="s">
        <v>814</v>
      </c>
      <c r="D540" t="s">
        <v>69</v>
      </c>
      <c r="E540" t="s">
        <v>84</v>
      </c>
      <c r="F540" t="s">
        <v>737</v>
      </c>
      <c r="G540" t="s">
        <v>238</v>
      </c>
      <c r="H540" t="s">
        <v>11</v>
      </c>
      <c r="I540">
        <v>3</v>
      </c>
      <c r="J540" t="s">
        <v>29</v>
      </c>
      <c r="K540">
        <f t="shared" si="8"/>
        <v>17</v>
      </c>
      <c r="L540" cm="1">
        <f t="array" ref="L540">IFERROR(SUMPRODUCT((COUNTIF($D$2:$D$648,$D$2:$D$648)&gt;COUNTIF($D$2:$D$648,D540))/COUNTIF($D$2:$D$648,$D$2:$D$648))+1,"")</f>
        <v>5.9999999999999982</v>
      </c>
    </row>
    <row r="541" spans="1:12" x14ac:dyDescent="0.3">
      <c r="A541" t="s">
        <v>205</v>
      </c>
      <c r="B541" s="3">
        <v>46058</v>
      </c>
      <c r="C541" t="s">
        <v>817</v>
      </c>
      <c r="D541" t="s">
        <v>13</v>
      </c>
      <c r="E541" t="s">
        <v>67</v>
      </c>
      <c r="F541" t="s">
        <v>683</v>
      </c>
      <c r="G541" t="s">
        <v>218</v>
      </c>
      <c r="H541" t="s">
        <v>11</v>
      </c>
      <c r="I541">
        <v>4</v>
      </c>
      <c r="J541" t="s">
        <v>40</v>
      </c>
      <c r="K541">
        <f t="shared" si="8"/>
        <v>47</v>
      </c>
      <c r="L541" cm="1">
        <f t="array" ref="L541">IFERROR(SUMPRODUCT((COUNTIF($D$2:$D$648,$D$2:$D$648)&gt;COUNTIF($D$2:$D$648,D541))/COUNTIF($D$2:$D$648,$D$2:$D$648))+1,"")</f>
        <v>1</v>
      </c>
    </row>
    <row r="542" spans="1:12" x14ac:dyDescent="0.3">
      <c r="A542" t="s">
        <v>205</v>
      </c>
      <c r="B542" s="3">
        <v>46058</v>
      </c>
      <c r="C542" t="s">
        <v>817</v>
      </c>
      <c r="D542" t="s">
        <v>74</v>
      </c>
      <c r="E542" t="s">
        <v>67</v>
      </c>
      <c r="F542" t="s">
        <v>738</v>
      </c>
      <c r="G542" t="s">
        <v>241</v>
      </c>
      <c r="H542" t="s">
        <v>11</v>
      </c>
      <c r="I542">
        <v>4</v>
      </c>
      <c r="J542" t="s">
        <v>40</v>
      </c>
      <c r="K542">
        <f t="shared" si="8"/>
        <v>9</v>
      </c>
      <c r="L542" cm="1">
        <f t="array" ref="L542">IFERROR(SUMPRODUCT((COUNTIF($D$2:$D$648,$D$2:$D$648)&gt;COUNTIF($D$2:$D$648,D542))/COUNTIF($D$2:$D$648,$D$2:$D$648))+1,"")</f>
        <v>21.999999999999968</v>
      </c>
    </row>
    <row r="543" spans="1:12" x14ac:dyDescent="0.3">
      <c r="A543" t="s">
        <v>205</v>
      </c>
      <c r="B543" s="3">
        <v>46058</v>
      </c>
      <c r="C543" t="s">
        <v>817</v>
      </c>
      <c r="D543" t="s">
        <v>126</v>
      </c>
      <c r="E543" t="s">
        <v>20</v>
      </c>
      <c r="F543" t="s">
        <v>739</v>
      </c>
      <c r="G543" t="s">
        <v>266</v>
      </c>
      <c r="H543" t="s">
        <v>11</v>
      </c>
      <c r="I543">
        <v>4</v>
      </c>
      <c r="J543" t="s">
        <v>40</v>
      </c>
      <c r="K543">
        <f t="shared" si="8"/>
        <v>25</v>
      </c>
      <c r="L543" cm="1">
        <f t="array" ref="L543">IFERROR(SUMPRODUCT((COUNTIF($D$2:$D$648,$D$2:$D$648)&gt;COUNTIF($D$2:$D$648,D543))/COUNTIF($D$2:$D$648,$D$2:$D$648))+1,"")</f>
        <v>2.0000000000000004</v>
      </c>
    </row>
    <row r="544" spans="1:12" x14ac:dyDescent="0.3">
      <c r="A544" t="s">
        <v>205</v>
      </c>
      <c r="B544" s="3">
        <v>46058</v>
      </c>
      <c r="C544" t="s">
        <v>817</v>
      </c>
      <c r="D544" t="s">
        <v>207</v>
      </c>
      <c r="E544" t="s">
        <v>17</v>
      </c>
      <c r="F544" t="s">
        <v>740</v>
      </c>
      <c r="G544" t="s">
        <v>248</v>
      </c>
      <c r="H544" t="s">
        <v>11</v>
      </c>
      <c r="I544">
        <v>4</v>
      </c>
      <c r="J544" t="s">
        <v>40</v>
      </c>
      <c r="K544">
        <f t="shared" si="8"/>
        <v>11</v>
      </c>
      <c r="L544" cm="1">
        <f t="array" ref="L544">IFERROR(SUMPRODUCT((COUNTIF($D$2:$D$648,$D$2:$D$648)&gt;COUNTIF($D$2:$D$648,D544))/COUNTIF($D$2:$D$648,$D$2:$D$648))+1,"")</f>
        <v>11.999999999999961</v>
      </c>
    </row>
    <row r="545" spans="1:12" x14ac:dyDescent="0.3">
      <c r="A545" t="s">
        <v>205</v>
      </c>
      <c r="B545" s="3">
        <v>46058</v>
      </c>
      <c r="C545" t="s">
        <v>817</v>
      </c>
      <c r="D545" t="s">
        <v>206</v>
      </c>
      <c r="E545" t="s">
        <v>84</v>
      </c>
      <c r="F545" t="s">
        <v>741</v>
      </c>
      <c r="G545" t="s">
        <v>225</v>
      </c>
      <c r="H545" t="s">
        <v>11</v>
      </c>
      <c r="I545">
        <v>4</v>
      </c>
      <c r="J545" t="s">
        <v>40</v>
      </c>
      <c r="K545">
        <f t="shared" si="8"/>
        <v>13</v>
      </c>
      <c r="L545" cm="1">
        <f t="array" ref="L545">IFERROR(SUMPRODUCT((COUNTIF($D$2:$D$648,$D$2:$D$648)&gt;COUNTIF($D$2:$D$648,D545))/COUNTIF($D$2:$D$648,$D$2:$D$648))+1,"")</f>
        <v>7.999999999999992</v>
      </c>
    </row>
    <row r="546" spans="1:12" x14ac:dyDescent="0.3">
      <c r="A546" t="s">
        <v>205</v>
      </c>
      <c r="B546" s="3">
        <v>46058</v>
      </c>
      <c r="C546" t="s">
        <v>817</v>
      </c>
      <c r="D546" t="s">
        <v>73</v>
      </c>
      <c r="E546" t="s">
        <v>23</v>
      </c>
      <c r="F546" t="s">
        <v>742</v>
      </c>
      <c r="G546" t="s">
        <v>234</v>
      </c>
      <c r="H546" t="s">
        <v>11</v>
      </c>
      <c r="I546">
        <v>4</v>
      </c>
      <c r="J546" t="s">
        <v>40</v>
      </c>
      <c r="K546">
        <f t="shared" si="8"/>
        <v>11</v>
      </c>
      <c r="L546" cm="1">
        <f t="array" ref="L546">IFERROR(SUMPRODUCT((COUNTIF($D$2:$D$648,$D$2:$D$648)&gt;COUNTIF($D$2:$D$648,D546))/COUNTIF($D$2:$D$648,$D$2:$D$648))+1,"")</f>
        <v>11.999999999999961</v>
      </c>
    </row>
    <row r="547" spans="1:12" x14ac:dyDescent="0.3">
      <c r="A547" t="s">
        <v>205</v>
      </c>
      <c r="B547" s="3">
        <v>46058</v>
      </c>
      <c r="C547" t="s">
        <v>817</v>
      </c>
      <c r="D547" t="s">
        <v>149</v>
      </c>
      <c r="E547" t="s">
        <v>14</v>
      </c>
      <c r="F547" t="s">
        <v>743</v>
      </c>
      <c r="G547" t="s">
        <v>278</v>
      </c>
      <c r="H547" t="s">
        <v>11</v>
      </c>
      <c r="I547">
        <v>4</v>
      </c>
      <c r="J547" t="s">
        <v>40</v>
      </c>
      <c r="K547">
        <f t="shared" si="8"/>
        <v>6</v>
      </c>
      <c r="L547" cm="1">
        <f t="array" ref="L547">IFERROR(SUMPRODUCT((COUNTIF($D$2:$D$648,$D$2:$D$648)&gt;COUNTIF($D$2:$D$648,D547))/COUNTIF($D$2:$D$648,$D$2:$D$648))+1,"")</f>
        <v>39.000000000000114</v>
      </c>
    </row>
    <row r="548" spans="1:12" x14ac:dyDescent="0.3">
      <c r="A548" t="s">
        <v>205</v>
      </c>
      <c r="B548" s="3">
        <v>46058</v>
      </c>
      <c r="C548" t="s">
        <v>817</v>
      </c>
      <c r="D548" t="s">
        <v>94</v>
      </c>
      <c r="E548" t="s">
        <v>14</v>
      </c>
      <c r="F548" t="s">
        <v>744</v>
      </c>
      <c r="G548" t="s">
        <v>253</v>
      </c>
      <c r="H548" t="s">
        <v>11</v>
      </c>
      <c r="I548">
        <v>4</v>
      </c>
      <c r="J548" t="s">
        <v>40</v>
      </c>
      <c r="K548">
        <f t="shared" si="8"/>
        <v>10</v>
      </c>
      <c r="L548" cm="1">
        <f t="array" ref="L548">IFERROR(SUMPRODUCT((COUNTIF($D$2:$D$648,$D$2:$D$648)&gt;COUNTIF($D$2:$D$648,D548))/COUNTIF($D$2:$D$648,$D$2:$D$648))+1,"")</f>
        <v>17.999999999999975</v>
      </c>
    </row>
    <row r="549" spans="1:12" x14ac:dyDescent="0.3">
      <c r="A549" t="s">
        <v>205</v>
      </c>
      <c r="B549" s="3">
        <v>46059</v>
      </c>
      <c r="C549" t="s">
        <v>815</v>
      </c>
      <c r="D549" t="s">
        <v>126</v>
      </c>
      <c r="E549" t="s">
        <v>20</v>
      </c>
      <c r="F549" t="s">
        <v>739</v>
      </c>
      <c r="G549" t="s">
        <v>266</v>
      </c>
      <c r="H549" t="s">
        <v>11</v>
      </c>
      <c r="I549">
        <v>5</v>
      </c>
      <c r="J549" t="s">
        <v>75</v>
      </c>
      <c r="K549">
        <f t="shared" si="8"/>
        <v>25</v>
      </c>
      <c r="L549" cm="1">
        <f t="array" ref="L549">IFERROR(SUMPRODUCT((COUNTIF($D$2:$D$648,$D$2:$D$648)&gt;COUNTIF($D$2:$D$648,D549))/COUNTIF($D$2:$D$648,$D$2:$D$648))+1,"")</f>
        <v>2.0000000000000004</v>
      </c>
    </row>
    <row r="550" spans="1:12" x14ac:dyDescent="0.3">
      <c r="A550" t="s">
        <v>205</v>
      </c>
      <c r="B550" s="3">
        <v>46059</v>
      </c>
      <c r="C550" t="s">
        <v>815</v>
      </c>
      <c r="D550" t="s">
        <v>86</v>
      </c>
      <c r="E550" t="s">
        <v>17</v>
      </c>
      <c r="F550" t="s">
        <v>740</v>
      </c>
      <c r="G550" t="s">
        <v>248</v>
      </c>
      <c r="H550" t="s">
        <v>11</v>
      </c>
      <c r="I550">
        <v>5</v>
      </c>
      <c r="J550" t="s">
        <v>21</v>
      </c>
      <c r="K550">
        <f t="shared" si="8"/>
        <v>10</v>
      </c>
      <c r="L550" cm="1">
        <f t="array" ref="L550">IFERROR(SUMPRODUCT((COUNTIF($D$2:$D$648,$D$2:$D$648)&gt;COUNTIF($D$2:$D$648,D550))/COUNTIF($D$2:$D$648,$D$2:$D$648))+1,"")</f>
        <v>17.999999999999975</v>
      </c>
    </row>
    <row r="551" spans="1:12" x14ac:dyDescent="0.3">
      <c r="A551" t="s">
        <v>205</v>
      </c>
      <c r="B551" s="3">
        <v>46059</v>
      </c>
      <c r="C551" t="s">
        <v>815</v>
      </c>
      <c r="D551" t="s">
        <v>206</v>
      </c>
      <c r="E551" t="s">
        <v>84</v>
      </c>
      <c r="F551" t="s">
        <v>745</v>
      </c>
      <c r="G551" t="s">
        <v>225</v>
      </c>
      <c r="H551" t="s">
        <v>11</v>
      </c>
      <c r="I551">
        <v>7</v>
      </c>
      <c r="J551" t="s">
        <v>15</v>
      </c>
      <c r="K551">
        <f t="shared" si="8"/>
        <v>13</v>
      </c>
      <c r="L551" cm="1">
        <f t="array" ref="L551">IFERROR(SUMPRODUCT((COUNTIF($D$2:$D$648,$D$2:$D$648)&gt;COUNTIF($D$2:$D$648,D551))/COUNTIF($D$2:$D$648,$D$2:$D$648))+1,"")</f>
        <v>7.999999999999992</v>
      </c>
    </row>
    <row r="552" spans="1:12" x14ac:dyDescent="0.3">
      <c r="A552" t="s">
        <v>205</v>
      </c>
      <c r="B552" s="3">
        <v>46059</v>
      </c>
      <c r="C552" t="s">
        <v>815</v>
      </c>
      <c r="D552" t="s">
        <v>138</v>
      </c>
      <c r="E552" t="s">
        <v>14</v>
      </c>
      <c r="F552" t="s">
        <v>746</v>
      </c>
      <c r="G552" t="s">
        <v>270</v>
      </c>
      <c r="H552" t="s">
        <v>11</v>
      </c>
      <c r="I552">
        <v>5</v>
      </c>
      <c r="J552" t="s">
        <v>65</v>
      </c>
      <c r="K552">
        <f t="shared" si="8"/>
        <v>5</v>
      </c>
      <c r="L552" cm="1">
        <f t="array" ref="L552">IFERROR(SUMPRODUCT((COUNTIF($D$2:$D$648,$D$2:$D$648)&gt;COUNTIF($D$2:$D$648,D552))/COUNTIF($D$2:$D$648,$D$2:$D$648))+1,"")</f>
        <v>43.000000000000199</v>
      </c>
    </row>
    <row r="553" spans="1:12" x14ac:dyDescent="0.3">
      <c r="A553" t="s">
        <v>205</v>
      </c>
      <c r="B553" s="3">
        <v>46059</v>
      </c>
      <c r="C553" t="s">
        <v>815</v>
      </c>
      <c r="D553" t="s">
        <v>43</v>
      </c>
      <c r="E553" t="s">
        <v>23</v>
      </c>
      <c r="F553" t="s">
        <v>747</v>
      </c>
      <c r="G553" t="s">
        <v>252</v>
      </c>
      <c r="H553" t="s">
        <v>11</v>
      </c>
      <c r="I553">
        <v>5</v>
      </c>
      <c r="J553" t="s">
        <v>44</v>
      </c>
      <c r="K553">
        <f t="shared" si="8"/>
        <v>15</v>
      </c>
      <c r="L553" cm="1">
        <f t="array" ref="L553">IFERROR(SUMPRODUCT((COUNTIF($D$2:$D$648,$D$2:$D$648)&gt;COUNTIF($D$2:$D$648,D553))/COUNTIF($D$2:$D$648,$D$2:$D$648))+1,"")</f>
        <v>6.9999999999999947</v>
      </c>
    </row>
    <row r="554" spans="1:12" x14ac:dyDescent="0.3">
      <c r="A554" t="s">
        <v>205</v>
      </c>
      <c r="B554" s="3">
        <v>46059</v>
      </c>
      <c r="C554" t="s">
        <v>815</v>
      </c>
      <c r="D554" t="s">
        <v>94</v>
      </c>
      <c r="E554" t="s">
        <v>67</v>
      </c>
      <c r="F554" t="s">
        <v>748</v>
      </c>
      <c r="G554" t="s">
        <v>253</v>
      </c>
      <c r="H554" t="s">
        <v>11</v>
      </c>
      <c r="I554">
        <v>5</v>
      </c>
      <c r="J554" t="s">
        <v>65</v>
      </c>
      <c r="K554">
        <f t="shared" si="8"/>
        <v>10</v>
      </c>
      <c r="L554" cm="1">
        <f t="array" ref="L554">IFERROR(SUMPRODUCT((COUNTIF($D$2:$D$648,$D$2:$D$648)&gt;COUNTIF($D$2:$D$648,D554))/COUNTIF($D$2:$D$648,$D$2:$D$648))+1,"")</f>
        <v>17.999999999999975</v>
      </c>
    </row>
    <row r="555" spans="1:12" x14ac:dyDescent="0.3">
      <c r="A555" t="s">
        <v>205</v>
      </c>
      <c r="B555" s="3">
        <v>46062</v>
      </c>
      <c r="C555" t="s">
        <v>816</v>
      </c>
      <c r="D555" t="s">
        <v>126</v>
      </c>
      <c r="E555" t="s">
        <v>23</v>
      </c>
      <c r="F555" t="s">
        <v>749</v>
      </c>
      <c r="G555" t="s">
        <v>266</v>
      </c>
      <c r="H555" t="s">
        <v>11</v>
      </c>
      <c r="I555">
        <v>5</v>
      </c>
      <c r="J555" t="s">
        <v>75</v>
      </c>
      <c r="K555">
        <f t="shared" si="8"/>
        <v>25</v>
      </c>
      <c r="L555" cm="1">
        <f t="array" ref="L555">IFERROR(SUMPRODUCT((COUNTIF($D$2:$D$648,$D$2:$D$648)&gt;COUNTIF($D$2:$D$648,D555))/COUNTIF($D$2:$D$648,$D$2:$D$648))+1,"")</f>
        <v>2.0000000000000004</v>
      </c>
    </row>
    <row r="556" spans="1:12" x14ac:dyDescent="0.3">
      <c r="A556" t="s">
        <v>205</v>
      </c>
      <c r="B556" s="3">
        <v>46062</v>
      </c>
      <c r="C556" t="s">
        <v>816</v>
      </c>
      <c r="D556" t="s">
        <v>206</v>
      </c>
      <c r="E556" t="s">
        <v>14</v>
      </c>
      <c r="F556" t="s">
        <v>750</v>
      </c>
      <c r="G556" t="s">
        <v>225</v>
      </c>
      <c r="H556" t="s">
        <v>11</v>
      </c>
      <c r="I556">
        <v>7</v>
      </c>
      <c r="J556" t="s">
        <v>15</v>
      </c>
      <c r="K556">
        <f t="shared" si="8"/>
        <v>13</v>
      </c>
      <c r="L556" cm="1">
        <f t="array" ref="L556">IFERROR(SUMPRODUCT((COUNTIF($D$2:$D$648,$D$2:$D$648)&gt;COUNTIF($D$2:$D$648,D556))/COUNTIF($D$2:$D$648,$D$2:$D$648))+1,"")</f>
        <v>7.999999999999992</v>
      </c>
    </row>
    <row r="557" spans="1:12" x14ac:dyDescent="0.3">
      <c r="A557" t="s">
        <v>205</v>
      </c>
      <c r="B557" s="3">
        <v>46062</v>
      </c>
      <c r="C557" t="s">
        <v>816</v>
      </c>
      <c r="D557" t="s">
        <v>88</v>
      </c>
      <c r="E557" t="s">
        <v>20</v>
      </c>
      <c r="F557" t="s">
        <v>751</v>
      </c>
      <c r="G557" t="s">
        <v>249</v>
      </c>
      <c r="H557" t="s">
        <v>11</v>
      </c>
      <c r="I557">
        <v>5</v>
      </c>
      <c r="J557" t="s">
        <v>24</v>
      </c>
      <c r="K557">
        <f t="shared" si="8"/>
        <v>12</v>
      </c>
      <c r="L557" cm="1">
        <f t="array" ref="L557">IFERROR(SUMPRODUCT((COUNTIF($D$2:$D$648,$D$2:$D$648)&gt;COUNTIF($D$2:$D$648,D557))/COUNTIF($D$2:$D$648,$D$2:$D$648))+1,"")</f>
        <v>10.999999999999973</v>
      </c>
    </row>
    <row r="558" spans="1:12" x14ac:dyDescent="0.3">
      <c r="A558" t="s">
        <v>205</v>
      </c>
      <c r="B558" s="3">
        <v>46062</v>
      </c>
      <c r="C558" t="s">
        <v>816</v>
      </c>
      <c r="D558" t="s">
        <v>139</v>
      </c>
      <c r="E558" t="s">
        <v>84</v>
      </c>
      <c r="F558" t="s">
        <v>752</v>
      </c>
      <c r="G558" t="s">
        <v>271</v>
      </c>
      <c r="H558" t="s">
        <v>11</v>
      </c>
      <c r="I558">
        <v>5</v>
      </c>
      <c r="J558" t="s">
        <v>65</v>
      </c>
      <c r="K558">
        <f t="shared" si="8"/>
        <v>5</v>
      </c>
      <c r="L558" cm="1">
        <f t="array" ref="L558">IFERROR(SUMPRODUCT((COUNTIF($D$2:$D$648,$D$2:$D$648)&gt;COUNTIF($D$2:$D$648,D558))/COUNTIF($D$2:$D$648,$D$2:$D$648))+1,"")</f>
        <v>43.000000000000199</v>
      </c>
    </row>
    <row r="559" spans="1:12" x14ac:dyDescent="0.3">
      <c r="A559" t="s">
        <v>205</v>
      </c>
      <c r="B559" s="3">
        <v>46062</v>
      </c>
      <c r="C559" t="s">
        <v>816</v>
      </c>
      <c r="D559" t="s">
        <v>110</v>
      </c>
      <c r="E559" t="s">
        <v>179</v>
      </c>
      <c r="F559" t="s">
        <v>349</v>
      </c>
      <c r="G559" t="s">
        <v>262</v>
      </c>
      <c r="H559" t="s">
        <v>11</v>
      </c>
      <c r="I559">
        <v>5</v>
      </c>
      <c r="J559" t="s">
        <v>90</v>
      </c>
      <c r="K559">
        <f t="shared" si="8"/>
        <v>11</v>
      </c>
      <c r="L559" cm="1">
        <f t="array" ref="L559">IFERROR(SUMPRODUCT((COUNTIF($D$2:$D$648,$D$2:$D$648)&gt;COUNTIF($D$2:$D$648,D559))/COUNTIF($D$2:$D$648,$D$2:$D$648))+1,"")</f>
        <v>11.999999999999961</v>
      </c>
    </row>
    <row r="560" spans="1:12" x14ac:dyDescent="0.3">
      <c r="A560" t="s">
        <v>205</v>
      </c>
      <c r="B560" s="3">
        <v>46063</v>
      </c>
      <c r="C560" t="s">
        <v>812</v>
      </c>
      <c r="D560" t="s">
        <v>126</v>
      </c>
      <c r="E560" t="s">
        <v>23</v>
      </c>
      <c r="F560" t="s">
        <v>749</v>
      </c>
      <c r="G560" t="s">
        <v>266</v>
      </c>
      <c r="H560" t="s">
        <v>11</v>
      </c>
      <c r="I560">
        <v>5</v>
      </c>
      <c r="J560" t="s">
        <v>75</v>
      </c>
      <c r="K560">
        <f t="shared" si="8"/>
        <v>25</v>
      </c>
      <c r="L560" cm="1">
        <f t="array" ref="L560">IFERROR(SUMPRODUCT((COUNTIF($D$2:$D$648,$D$2:$D$648)&gt;COUNTIF($D$2:$D$648,D560))/COUNTIF($D$2:$D$648,$D$2:$D$648))+1,"")</f>
        <v>2.0000000000000004</v>
      </c>
    </row>
    <row r="561" spans="1:12" x14ac:dyDescent="0.3">
      <c r="A561" t="s">
        <v>205</v>
      </c>
      <c r="B561" s="3">
        <v>46063</v>
      </c>
      <c r="C561" t="s">
        <v>812</v>
      </c>
      <c r="D561" t="s">
        <v>207</v>
      </c>
      <c r="E561" t="s">
        <v>67</v>
      </c>
      <c r="F561" t="s">
        <v>753</v>
      </c>
      <c r="G561" t="s">
        <v>248</v>
      </c>
      <c r="H561" t="s">
        <v>11</v>
      </c>
      <c r="I561">
        <v>5</v>
      </c>
      <c r="J561" t="s">
        <v>21</v>
      </c>
      <c r="K561">
        <f t="shared" si="8"/>
        <v>11</v>
      </c>
      <c r="L561" cm="1">
        <f t="array" ref="L561">IFERROR(SUMPRODUCT((COUNTIF($D$2:$D$648,$D$2:$D$648)&gt;COUNTIF($D$2:$D$648,D561))/COUNTIF($D$2:$D$648,$D$2:$D$648))+1,"")</f>
        <v>11.999999999999961</v>
      </c>
    </row>
    <row r="562" spans="1:12" x14ac:dyDescent="0.3">
      <c r="A562" t="s">
        <v>205</v>
      </c>
      <c r="B562" s="3">
        <v>46063</v>
      </c>
      <c r="C562" t="s">
        <v>812</v>
      </c>
      <c r="D562" t="s">
        <v>206</v>
      </c>
      <c r="E562" t="s">
        <v>14</v>
      </c>
      <c r="F562" t="s">
        <v>750</v>
      </c>
      <c r="G562" t="s">
        <v>225</v>
      </c>
      <c r="H562" t="s">
        <v>11</v>
      </c>
      <c r="I562">
        <v>7</v>
      </c>
      <c r="J562" t="s">
        <v>15</v>
      </c>
      <c r="K562">
        <f t="shared" si="8"/>
        <v>13</v>
      </c>
      <c r="L562" cm="1">
        <f t="array" ref="L562">IFERROR(SUMPRODUCT((COUNTIF($D$2:$D$648,$D$2:$D$648)&gt;COUNTIF($D$2:$D$648,D562))/COUNTIF($D$2:$D$648,$D$2:$D$648))+1,"")</f>
        <v>7.999999999999992</v>
      </c>
    </row>
    <row r="563" spans="1:12" x14ac:dyDescent="0.3">
      <c r="A563" t="s">
        <v>205</v>
      </c>
      <c r="B563" s="3">
        <v>46063</v>
      </c>
      <c r="C563" t="s">
        <v>812</v>
      </c>
      <c r="D563" t="s">
        <v>78</v>
      </c>
      <c r="E563" t="s">
        <v>20</v>
      </c>
      <c r="F563" t="s">
        <v>754</v>
      </c>
      <c r="G563" t="s">
        <v>242</v>
      </c>
      <c r="H563" t="s">
        <v>11</v>
      </c>
      <c r="I563">
        <v>5</v>
      </c>
      <c r="J563" t="s">
        <v>112</v>
      </c>
      <c r="K563">
        <f t="shared" si="8"/>
        <v>7</v>
      </c>
      <c r="L563" cm="1">
        <f t="array" ref="L563">IFERROR(SUMPRODUCT((COUNTIF($D$2:$D$648,$D$2:$D$648)&gt;COUNTIF($D$2:$D$648,D563))/COUNTIF($D$2:$D$648,$D$2:$D$648))+1,"")</f>
        <v>31.999999999999968</v>
      </c>
    </row>
    <row r="564" spans="1:12" x14ac:dyDescent="0.3">
      <c r="A564" t="s">
        <v>205</v>
      </c>
      <c r="B564" s="3">
        <v>46063</v>
      </c>
      <c r="C564" t="s">
        <v>812</v>
      </c>
      <c r="D564" t="s">
        <v>63</v>
      </c>
      <c r="E564" t="s">
        <v>84</v>
      </c>
      <c r="F564" t="s">
        <v>755</v>
      </c>
      <c r="G564" t="s">
        <v>236</v>
      </c>
      <c r="H564" t="s">
        <v>11</v>
      </c>
      <c r="I564">
        <v>5</v>
      </c>
      <c r="J564" t="s">
        <v>49</v>
      </c>
      <c r="K564">
        <f t="shared" si="8"/>
        <v>8</v>
      </c>
      <c r="L564" cm="1">
        <f t="array" ref="L564">IFERROR(SUMPRODUCT((COUNTIF($D$2:$D$648,$D$2:$D$648)&gt;COUNTIF($D$2:$D$648,D564))/COUNTIF($D$2:$D$648,$D$2:$D$648))+1,"")</f>
        <v>24.999999999999957</v>
      </c>
    </row>
    <row r="565" spans="1:12" x14ac:dyDescent="0.3">
      <c r="A565" t="s">
        <v>205</v>
      </c>
      <c r="B565" s="3">
        <v>46063</v>
      </c>
      <c r="C565" t="s">
        <v>812</v>
      </c>
      <c r="D565" t="s">
        <v>159</v>
      </c>
      <c r="E565" t="s">
        <v>36</v>
      </c>
      <c r="F565" t="s">
        <v>350</v>
      </c>
      <c r="G565" t="s">
        <v>260</v>
      </c>
      <c r="H565" t="s">
        <v>11</v>
      </c>
      <c r="I565">
        <v>5</v>
      </c>
      <c r="J565" t="s">
        <v>90</v>
      </c>
      <c r="K565">
        <f t="shared" si="8"/>
        <v>2</v>
      </c>
      <c r="L565" cm="1">
        <f t="array" ref="L565">IFERROR(SUMPRODUCT((COUNTIF($D$2:$D$648,$D$2:$D$648)&gt;COUNTIF($D$2:$D$648,D565))/COUNTIF($D$2:$D$648,$D$2:$D$648))+1,"")</f>
        <v>65.000000000000426</v>
      </c>
    </row>
    <row r="566" spans="1:12" x14ac:dyDescent="0.3">
      <c r="A566" t="s">
        <v>205</v>
      </c>
      <c r="B566" s="3">
        <v>46064</v>
      </c>
      <c r="C566" t="s">
        <v>814</v>
      </c>
      <c r="D566" t="s">
        <v>126</v>
      </c>
      <c r="E566" t="s">
        <v>23</v>
      </c>
      <c r="F566" t="s">
        <v>749</v>
      </c>
      <c r="G566" t="s">
        <v>266</v>
      </c>
      <c r="H566" t="s">
        <v>11</v>
      </c>
      <c r="I566">
        <v>3</v>
      </c>
      <c r="J566" t="s">
        <v>98</v>
      </c>
      <c r="K566">
        <f t="shared" si="8"/>
        <v>25</v>
      </c>
      <c r="L566" cm="1">
        <f t="array" ref="L566">IFERROR(SUMPRODUCT((COUNTIF($D$2:$D$648,$D$2:$D$648)&gt;COUNTIF($D$2:$D$648,D566))/COUNTIF($D$2:$D$648,$D$2:$D$648))+1,"")</f>
        <v>2.0000000000000004</v>
      </c>
    </row>
    <row r="567" spans="1:12" x14ac:dyDescent="0.3">
      <c r="A567" t="s">
        <v>205</v>
      </c>
      <c r="B567" s="3">
        <v>46064</v>
      </c>
      <c r="C567" t="s">
        <v>814</v>
      </c>
      <c r="D567" t="s">
        <v>207</v>
      </c>
      <c r="E567" t="s">
        <v>67</v>
      </c>
      <c r="F567" t="s">
        <v>753</v>
      </c>
      <c r="G567" t="s">
        <v>248</v>
      </c>
      <c r="H567" t="s">
        <v>11</v>
      </c>
      <c r="I567">
        <v>3</v>
      </c>
      <c r="J567" t="s">
        <v>28</v>
      </c>
      <c r="K567">
        <f t="shared" si="8"/>
        <v>11</v>
      </c>
      <c r="L567" cm="1">
        <f t="array" ref="L567">IFERROR(SUMPRODUCT((COUNTIF($D$2:$D$648,$D$2:$D$648)&gt;COUNTIF($D$2:$D$648,D567))/COUNTIF($D$2:$D$648,$D$2:$D$648))+1,"")</f>
        <v>11.999999999999961</v>
      </c>
    </row>
    <row r="568" spans="1:12" x14ac:dyDescent="0.3">
      <c r="A568" t="s">
        <v>205</v>
      </c>
      <c r="B568" s="3">
        <v>46064</v>
      </c>
      <c r="C568" t="s">
        <v>814</v>
      </c>
      <c r="D568" t="s">
        <v>206</v>
      </c>
      <c r="E568" t="s">
        <v>84</v>
      </c>
      <c r="F568" t="s">
        <v>750</v>
      </c>
      <c r="G568" t="s">
        <v>225</v>
      </c>
      <c r="H568" t="s">
        <v>11</v>
      </c>
      <c r="I568">
        <v>4</v>
      </c>
      <c r="J568" t="s">
        <v>30</v>
      </c>
      <c r="K568">
        <f t="shared" si="8"/>
        <v>13</v>
      </c>
      <c r="L568" cm="1">
        <f t="array" ref="L568">IFERROR(SUMPRODUCT((COUNTIF($D$2:$D$648,$D$2:$D$648)&gt;COUNTIF($D$2:$D$648,D568))/COUNTIF($D$2:$D$648,$D$2:$D$648))+1,"")</f>
        <v>7.999999999999992</v>
      </c>
    </row>
    <row r="569" spans="1:12" x14ac:dyDescent="0.3">
      <c r="A569" t="s">
        <v>205</v>
      </c>
      <c r="B569" s="3">
        <v>46064</v>
      </c>
      <c r="C569" t="s">
        <v>814</v>
      </c>
      <c r="D569" t="s">
        <v>116</v>
      </c>
      <c r="E569" t="s">
        <v>20</v>
      </c>
      <c r="F569" t="s">
        <v>756</v>
      </c>
      <c r="G569" t="s">
        <v>263</v>
      </c>
      <c r="H569" t="s">
        <v>11</v>
      </c>
      <c r="I569">
        <v>3</v>
      </c>
      <c r="J569" t="s">
        <v>28</v>
      </c>
      <c r="K569">
        <f t="shared" si="8"/>
        <v>5</v>
      </c>
      <c r="L569" cm="1">
        <f t="array" ref="L569">IFERROR(SUMPRODUCT((COUNTIF($D$2:$D$648,$D$2:$D$648)&gt;COUNTIF($D$2:$D$648,D569))/COUNTIF($D$2:$D$648,$D$2:$D$648))+1,"")</f>
        <v>43.000000000000199</v>
      </c>
    </row>
    <row r="570" spans="1:12" x14ac:dyDescent="0.3">
      <c r="A570" t="s">
        <v>205</v>
      </c>
      <c r="B570" s="3">
        <v>46064</v>
      </c>
      <c r="C570" t="s">
        <v>814</v>
      </c>
      <c r="D570" t="s">
        <v>16</v>
      </c>
      <c r="E570" t="s">
        <v>17</v>
      </c>
      <c r="F570" t="s">
        <v>757</v>
      </c>
      <c r="G570" t="s">
        <v>219</v>
      </c>
      <c r="H570" t="s">
        <v>11</v>
      </c>
      <c r="I570">
        <v>3</v>
      </c>
      <c r="J570" t="s">
        <v>28</v>
      </c>
      <c r="K570">
        <f t="shared" si="8"/>
        <v>10</v>
      </c>
      <c r="L570" cm="1">
        <f t="array" ref="L570">IFERROR(SUMPRODUCT((COUNTIF($D$2:$D$648,$D$2:$D$648)&gt;COUNTIF($D$2:$D$648,D570))/COUNTIF($D$2:$D$648,$D$2:$D$648))+1,"")</f>
        <v>17.999999999999975</v>
      </c>
    </row>
    <row r="571" spans="1:12" x14ac:dyDescent="0.3">
      <c r="A571" t="s">
        <v>205</v>
      </c>
      <c r="B571" s="3">
        <v>46064</v>
      </c>
      <c r="C571" t="s">
        <v>814</v>
      </c>
      <c r="D571" t="s">
        <v>71</v>
      </c>
      <c r="E571" t="s">
        <v>208</v>
      </c>
      <c r="F571" t="s">
        <v>351</v>
      </c>
      <c r="G571" t="s">
        <v>240</v>
      </c>
      <c r="H571" t="s">
        <v>11</v>
      </c>
      <c r="I571">
        <v>3</v>
      </c>
      <c r="J571" t="s">
        <v>54</v>
      </c>
      <c r="K571">
        <f t="shared" si="8"/>
        <v>13</v>
      </c>
      <c r="L571" cm="1">
        <f t="array" ref="L571">IFERROR(SUMPRODUCT((COUNTIF($D$2:$D$648,$D$2:$D$648)&gt;COUNTIF($D$2:$D$648,D571))/COUNTIF($D$2:$D$648,$D$2:$D$648))+1,"")</f>
        <v>7.999999999999992</v>
      </c>
    </row>
    <row r="572" spans="1:12" x14ac:dyDescent="0.3">
      <c r="A572" t="s">
        <v>205</v>
      </c>
      <c r="B572" s="3">
        <v>46065</v>
      </c>
      <c r="C572" t="s">
        <v>817</v>
      </c>
      <c r="D572" t="s">
        <v>13</v>
      </c>
      <c r="E572" t="s">
        <v>23</v>
      </c>
      <c r="F572" t="s">
        <v>683</v>
      </c>
      <c r="G572" t="s">
        <v>218</v>
      </c>
      <c r="H572" t="s">
        <v>11</v>
      </c>
      <c r="I572">
        <v>4</v>
      </c>
      <c r="J572" t="s">
        <v>40</v>
      </c>
      <c r="K572">
        <f t="shared" si="8"/>
        <v>47</v>
      </c>
      <c r="L572" cm="1">
        <f t="array" ref="L572">IFERROR(SUMPRODUCT((COUNTIF($D$2:$D$648,$D$2:$D$648)&gt;COUNTIF($D$2:$D$648,D572))/COUNTIF($D$2:$D$648,$D$2:$D$648))+1,"")</f>
        <v>1</v>
      </c>
    </row>
    <row r="573" spans="1:12" x14ac:dyDescent="0.3">
      <c r="A573" t="s">
        <v>205</v>
      </c>
      <c r="B573" s="3">
        <v>46065</v>
      </c>
      <c r="C573" t="s">
        <v>817</v>
      </c>
      <c r="D573" t="s">
        <v>126</v>
      </c>
      <c r="E573" t="s">
        <v>23</v>
      </c>
      <c r="F573" t="s">
        <v>749</v>
      </c>
      <c r="G573" t="s">
        <v>266</v>
      </c>
      <c r="H573" t="s">
        <v>11</v>
      </c>
      <c r="I573">
        <v>3</v>
      </c>
      <c r="J573" t="s">
        <v>35</v>
      </c>
      <c r="K573">
        <f t="shared" si="8"/>
        <v>25</v>
      </c>
      <c r="L573" cm="1">
        <f t="array" ref="L573">IFERROR(SUMPRODUCT((COUNTIF($D$2:$D$648,$D$2:$D$648)&gt;COUNTIF($D$2:$D$648,D573))/COUNTIF($D$2:$D$648,$D$2:$D$648))+1,"")</f>
        <v>2.0000000000000004</v>
      </c>
    </row>
    <row r="574" spans="1:12" x14ac:dyDescent="0.3">
      <c r="A574" t="s">
        <v>205</v>
      </c>
      <c r="B574" s="3">
        <v>46065</v>
      </c>
      <c r="C574" t="s">
        <v>817</v>
      </c>
      <c r="D574" t="s">
        <v>86</v>
      </c>
      <c r="E574" t="s">
        <v>67</v>
      </c>
      <c r="F574" t="s">
        <v>753</v>
      </c>
      <c r="G574" t="s">
        <v>248</v>
      </c>
      <c r="H574" t="s">
        <v>11</v>
      </c>
      <c r="I574">
        <v>3</v>
      </c>
      <c r="J574" t="s">
        <v>35</v>
      </c>
      <c r="K574">
        <f t="shared" si="8"/>
        <v>10</v>
      </c>
      <c r="L574" cm="1">
        <f t="array" ref="L574">IFERROR(SUMPRODUCT((COUNTIF($D$2:$D$648,$D$2:$D$648)&gt;COUNTIF($D$2:$D$648,D574))/COUNTIF($D$2:$D$648,$D$2:$D$648))+1,"")</f>
        <v>17.999999999999975</v>
      </c>
    </row>
    <row r="575" spans="1:12" x14ac:dyDescent="0.3">
      <c r="A575" t="s">
        <v>205</v>
      </c>
      <c r="B575" s="3">
        <v>46065</v>
      </c>
      <c r="C575" t="s">
        <v>817</v>
      </c>
      <c r="D575" t="s">
        <v>206</v>
      </c>
      <c r="E575" t="s">
        <v>84</v>
      </c>
      <c r="F575" t="s">
        <v>758</v>
      </c>
      <c r="G575" t="s">
        <v>225</v>
      </c>
      <c r="H575" t="s">
        <v>11</v>
      </c>
      <c r="I575">
        <v>4</v>
      </c>
      <c r="J575" t="s">
        <v>40</v>
      </c>
      <c r="K575">
        <f t="shared" si="8"/>
        <v>13</v>
      </c>
      <c r="L575" cm="1">
        <f t="array" ref="L575">IFERROR(SUMPRODUCT((COUNTIF($D$2:$D$648,$D$2:$D$648)&gt;COUNTIF($D$2:$D$648,D575))/COUNTIF($D$2:$D$648,$D$2:$D$648))+1,"")</f>
        <v>7.999999999999992</v>
      </c>
    </row>
    <row r="576" spans="1:12" x14ac:dyDescent="0.3">
      <c r="A576" t="s">
        <v>205</v>
      </c>
      <c r="B576" s="3">
        <v>46065</v>
      </c>
      <c r="C576" t="s">
        <v>817</v>
      </c>
      <c r="D576" t="s">
        <v>95</v>
      </c>
      <c r="E576" t="s">
        <v>14</v>
      </c>
      <c r="F576" t="s">
        <v>759</v>
      </c>
      <c r="G576" t="s">
        <v>254</v>
      </c>
      <c r="H576" t="s">
        <v>11</v>
      </c>
      <c r="I576">
        <v>3</v>
      </c>
      <c r="J576" t="s">
        <v>35</v>
      </c>
      <c r="K576">
        <f t="shared" si="8"/>
        <v>11</v>
      </c>
      <c r="L576" cm="1">
        <f t="array" ref="L576">IFERROR(SUMPRODUCT((COUNTIF($D$2:$D$648,$D$2:$D$648)&gt;COUNTIF($D$2:$D$648,D576))/COUNTIF($D$2:$D$648,$D$2:$D$648))+1,"")</f>
        <v>11.999999999999961</v>
      </c>
    </row>
    <row r="577" spans="1:12" x14ac:dyDescent="0.3">
      <c r="A577" t="s">
        <v>205</v>
      </c>
      <c r="B577" s="3">
        <v>46065</v>
      </c>
      <c r="C577" t="s">
        <v>817</v>
      </c>
      <c r="D577" t="s">
        <v>31</v>
      </c>
      <c r="E577" t="s">
        <v>20</v>
      </c>
      <c r="F577" t="s">
        <v>760</v>
      </c>
      <c r="G577" t="s">
        <v>223</v>
      </c>
      <c r="H577" t="s">
        <v>11</v>
      </c>
      <c r="I577">
        <v>3</v>
      </c>
      <c r="J577" t="s">
        <v>35</v>
      </c>
      <c r="K577">
        <f t="shared" si="8"/>
        <v>6</v>
      </c>
      <c r="L577" cm="1">
        <f t="array" ref="L577">IFERROR(SUMPRODUCT((COUNTIF($D$2:$D$648,$D$2:$D$648)&gt;COUNTIF($D$2:$D$648,D577))/COUNTIF($D$2:$D$648,$D$2:$D$648))+1,"")</f>
        <v>39.000000000000114</v>
      </c>
    </row>
    <row r="578" spans="1:12" x14ac:dyDescent="0.3">
      <c r="A578" t="s">
        <v>205</v>
      </c>
      <c r="B578" s="3">
        <v>46065</v>
      </c>
      <c r="C578" t="s">
        <v>817</v>
      </c>
      <c r="D578" t="s">
        <v>61</v>
      </c>
      <c r="E578" t="s">
        <v>36</v>
      </c>
      <c r="F578" t="s">
        <v>352</v>
      </c>
      <c r="G578" t="s">
        <v>235</v>
      </c>
      <c r="H578" t="s">
        <v>11</v>
      </c>
      <c r="I578">
        <v>3</v>
      </c>
      <c r="J578" t="s">
        <v>35</v>
      </c>
      <c r="K578">
        <f t="shared" ref="K578:K641" si="9">COUNTIF($D$2:$D$700,D578)</f>
        <v>2</v>
      </c>
      <c r="L578" cm="1">
        <f t="array" ref="L578">IFERROR(SUMPRODUCT((COUNTIF($D$2:$D$648,$D$2:$D$648)&gt;COUNTIF($D$2:$D$648,D578))/COUNTIF($D$2:$D$648,$D$2:$D$648))+1,"")</f>
        <v>65.000000000000426</v>
      </c>
    </row>
    <row r="579" spans="1:12" x14ac:dyDescent="0.3">
      <c r="A579" t="s">
        <v>205</v>
      </c>
      <c r="B579" s="3">
        <v>46065</v>
      </c>
      <c r="C579" t="s">
        <v>817</v>
      </c>
      <c r="D579" t="s">
        <v>117</v>
      </c>
      <c r="E579" t="s">
        <v>17</v>
      </c>
      <c r="F579" t="s">
        <v>761</v>
      </c>
      <c r="G579" t="s">
        <v>264</v>
      </c>
      <c r="H579" t="s">
        <v>11</v>
      </c>
      <c r="I579">
        <v>3</v>
      </c>
      <c r="J579" t="s">
        <v>37</v>
      </c>
      <c r="K579">
        <f t="shared" si="9"/>
        <v>8</v>
      </c>
      <c r="L579" cm="1">
        <f t="array" ref="L579">IFERROR(SUMPRODUCT((COUNTIF($D$2:$D$648,$D$2:$D$648)&gt;COUNTIF($D$2:$D$648,D579))/COUNTIF($D$2:$D$648,$D$2:$D$648))+1,"")</f>
        <v>24.999999999999957</v>
      </c>
    </row>
    <row r="580" spans="1:12" x14ac:dyDescent="0.3">
      <c r="A580" t="s">
        <v>205</v>
      </c>
      <c r="B580" s="3">
        <v>46065</v>
      </c>
      <c r="C580" t="s">
        <v>817</v>
      </c>
      <c r="D580" t="s">
        <v>76</v>
      </c>
      <c r="E580" t="s">
        <v>36</v>
      </c>
      <c r="F580" t="s">
        <v>353</v>
      </c>
      <c r="G580" t="s">
        <v>229</v>
      </c>
      <c r="H580" t="s">
        <v>11</v>
      </c>
      <c r="I580">
        <v>3</v>
      </c>
      <c r="J580" t="s">
        <v>59</v>
      </c>
      <c r="K580">
        <f t="shared" si="9"/>
        <v>11</v>
      </c>
      <c r="L580" cm="1">
        <f t="array" ref="L580">IFERROR(SUMPRODUCT((COUNTIF($D$2:$D$648,$D$2:$D$648)&gt;COUNTIF($D$2:$D$648,D580))/COUNTIF($D$2:$D$648,$D$2:$D$648))+1,"")</f>
        <v>11.999999999999961</v>
      </c>
    </row>
    <row r="581" spans="1:12" x14ac:dyDescent="0.3">
      <c r="A581" t="s">
        <v>205</v>
      </c>
      <c r="B581" s="3">
        <v>46066</v>
      </c>
      <c r="C581" t="s">
        <v>815</v>
      </c>
      <c r="D581" t="s">
        <v>126</v>
      </c>
      <c r="E581" t="s">
        <v>23</v>
      </c>
      <c r="F581" t="s">
        <v>749</v>
      </c>
      <c r="G581" t="s">
        <v>266</v>
      </c>
      <c r="H581" t="s">
        <v>11</v>
      </c>
      <c r="I581">
        <v>5</v>
      </c>
      <c r="J581" t="s">
        <v>75</v>
      </c>
      <c r="K581">
        <f t="shared" si="9"/>
        <v>25</v>
      </c>
      <c r="L581" cm="1">
        <f t="array" ref="L581">IFERROR(SUMPRODUCT((COUNTIF($D$2:$D$648,$D$2:$D$648)&gt;COUNTIF($D$2:$D$648,D581))/COUNTIF($D$2:$D$648,$D$2:$D$648))+1,"")</f>
        <v>2.0000000000000004</v>
      </c>
    </row>
    <row r="582" spans="1:12" x14ac:dyDescent="0.3">
      <c r="A582" t="s">
        <v>205</v>
      </c>
      <c r="B582" s="3">
        <v>46066</v>
      </c>
      <c r="C582" t="s">
        <v>815</v>
      </c>
      <c r="D582" t="s">
        <v>207</v>
      </c>
      <c r="E582" t="s">
        <v>67</v>
      </c>
      <c r="F582" t="s">
        <v>753</v>
      </c>
      <c r="G582" t="s">
        <v>248</v>
      </c>
      <c r="H582" t="s">
        <v>11</v>
      </c>
      <c r="I582">
        <v>5</v>
      </c>
      <c r="J582" t="s">
        <v>21</v>
      </c>
      <c r="K582">
        <f t="shared" si="9"/>
        <v>11</v>
      </c>
      <c r="L582" cm="1">
        <f t="array" ref="L582">IFERROR(SUMPRODUCT((COUNTIF($D$2:$D$648,$D$2:$D$648)&gt;COUNTIF($D$2:$D$648,D582))/COUNTIF($D$2:$D$648,$D$2:$D$648))+1,"")</f>
        <v>11.999999999999961</v>
      </c>
    </row>
    <row r="583" spans="1:12" x14ac:dyDescent="0.3">
      <c r="A583" t="s">
        <v>205</v>
      </c>
      <c r="B583" s="3">
        <v>46066</v>
      </c>
      <c r="C583" t="s">
        <v>815</v>
      </c>
      <c r="D583" t="s">
        <v>206</v>
      </c>
      <c r="E583" t="s">
        <v>84</v>
      </c>
      <c r="F583" t="s">
        <v>762</v>
      </c>
      <c r="G583" t="s">
        <v>225</v>
      </c>
      <c r="H583" t="s">
        <v>11</v>
      </c>
      <c r="I583">
        <v>7</v>
      </c>
      <c r="J583" t="s">
        <v>15</v>
      </c>
      <c r="K583">
        <f t="shared" si="9"/>
        <v>13</v>
      </c>
      <c r="L583" cm="1">
        <f t="array" ref="L583">IFERROR(SUMPRODUCT((COUNTIF($D$2:$D$648,$D$2:$D$648)&gt;COUNTIF($D$2:$D$648,D583))/COUNTIF($D$2:$D$648,$D$2:$D$648))+1,"")</f>
        <v>7.999999999999992</v>
      </c>
    </row>
    <row r="584" spans="1:12" x14ac:dyDescent="0.3">
      <c r="A584" t="s">
        <v>205</v>
      </c>
      <c r="B584" s="3">
        <v>46066</v>
      </c>
      <c r="C584" t="s">
        <v>815</v>
      </c>
      <c r="D584" t="s">
        <v>33</v>
      </c>
      <c r="E584" t="s">
        <v>17</v>
      </c>
      <c r="F584" t="s">
        <v>763</v>
      </c>
      <c r="G584" t="s">
        <v>224</v>
      </c>
      <c r="H584" t="s">
        <v>11</v>
      </c>
      <c r="I584">
        <v>5</v>
      </c>
      <c r="J584" t="s">
        <v>49</v>
      </c>
      <c r="K584">
        <f t="shared" si="9"/>
        <v>10</v>
      </c>
      <c r="L584" cm="1">
        <f t="array" ref="L584">IFERROR(SUMPRODUCT((COUNTIF($D$2:$D$648,$D$2:$D$648)&gt;COUNTIF($D$2:$D$648,D584))/COUNTIF($D$2:$D$648,$D$2:$D$648))+1,"")</f>
        <v>17.999999999999975</v>
      </c>
    </row>
    <row r="585" spans="1:12" x14ac:dyDescent="0.3">
      <c r="A585" t="s">
        <v>205</v>
      </c>
      <c r="B585" s="3">
        <v>46066</v>
      </c>
      <c r="C585" t="s">
        <v>815</v>
      </c>
      <c r="D585" t="s">
        <v>94</v>
      </c>
      <c r="E585" t="s">
        <v>14</v>
      </c>
      <c r="F585" t="s">
        <v>764</v>
      </c>
      <c r="G585" t="s">
        <v>253</v>
      </c>
      <c r="H585" t="s">
        <v>11</v>
      </c>
      <c r="I585">
        <v>5</v>
      </c>
      <c r="J585" t="s">
        <v>65</v>
      </c>
      <c r="K585">
        <f t="shared" si="9"/>
        <v>10</v>
      </c>
      <c r="L585" cm="1">
        <f t="array" ref="L585">IFERROR(SUMPRODUCT((COUNTIF($D$2:$D$648,$D$2:$D$648)&gt;COUNTIF($D$2:$D$648,D585))/COUNTIF($D$2:$D$648,$D$2:$D$648))+1,"")</f>
        <v>17.999999999999975</v>
      </c>
    </row>
    <row r="586" spans="1:12" x14ac:dyDescent="0.3">
      <c r="A586" t="s">
        <v>205</v>
      </c>
      <c r="B586" s="3">
        <v>46066</v>
      </c>
      <c r="C586" t="s">
        <v>815</v>
      </c>
      <c r="D586" t="s">
        <v>204</v>
      </c>
      <c r="E586" t="s">
        <v>179</v>
      </c>
      <c r="F586" t="s">
        <v>354</v>
      </c>
      <c r="G586" t="s">
        <v>237</v>
      </c>
      <c r="H586" t="s">
        <v>11</v>
      </c>
      <c r="I586">
        <v>5</v>
      </c>
      <c r="J586" t="s">
        <v>65</v>
      </c>
      <c r="K586">
        <f t="shared" si="9"/>
        <v>2</v>
      </c>
      <c r="L586" cm="1">
        <f t="array" ref="L586">IFERROR(SUMPRODUCT((COUNTIF($D$2:$D$648,$D$2:$D$648)&gt;COUNTIF($D$2:$D$648,D586))/COUNTIF($D$2:$D$648,$D$2:$D$648))+1,"")</f>
        <v>65.000000000000426</v>
      </c>
    </row>
    <row r="587" spans="1:12" x14ac:dyDescent="0.3">
      <c r="A587" t="s">
        <v>205</v>
      </c>
      <c r="B587" s="3">
        <v>46069</v>
      </c>
      <c r="C587" t="s">
        <v>816</v>
      </c>
      <c r="D587" t="s">
        <v>126</v>
      </c>
      <c r="E587" t="s">
        <v>20</v>
      </c>
      <c r="F587" t="s">
        <v>765</v>
      </c>
      <c r="G587" t="s">
        <v>266</v>
      </c>
      <c r="H587" t="s">
        <v>11</v>
      </c>
      <c r="I587">
        <v>5</v>
      </c>
      <c r="J587" t="s">
        <v>75</v>
      </c>
      <c r="K587">
        <f t="shared" si="9"/>
        <v>25</v>
      </c>
      <c r="L587" cm="1">
        <f t="array" ref="L587">IFERROR(SUMPRODUCT((COUNTIF($D$2:$D$648,$D$2:$D$648)&gt;COUNTIF($D$2:$D$648,D587))/COUNTIF($D$2:$D$648,$D$2:$D$648))+1,"")</f>
        <v>2.0000000000000004</v>
      </c>
    </row>
    <row r="588" spans="1:12" x14ac:dyDescent="0.3">
      <c r="A588" t="s">
        <v>205</v>
      </c>
      <c r="B588" s="3">
        <v>46069</v>
      </c>
      <c r="C588" t="s">
        <v>816</v>
      </c>
      <c r="D588" t="s">
        <v>86</v>
      </c>
      <c r="E588" t="s">
        <v>23</v>
      </c>
      <c r="F588" t="s">
        <v>766</v>
      </c>
      <c r="G588" t="s">
        <v>248</v>
      </c>
      <c r="H588" t="s">
        <v>11</v>
      </c>
      <c r="I588">
        <v>5</v>
      </c>
      <c r="J588" t="s">
        <v>21</v>
      </c>
      <c r="K588">
        <f t="shared" si="9"/>
        <v>10</v>
      </c>
      <c r="L588" cm="1">
        <f t="array" ref="L588">IFERROR(SUMPRODUCT((COUNTIF($D$2:$D$648,$D$2:$D$648)&gt;COUNTIF($D$2:$D$648,D588))/COUNTIF($D$2:$D$648,$D$2:$D$648))+1,"")</f>
        <v>17.999999999999975</v>
      </c>
    </row>
    <row r="589" spans="1:12" x14ac:dyDescent="0.3">
      <c r="A589" t="s">
        <v>205</v>
      </c>
      <c r="B589" s="3">
        <v>46069</v>
      </c>
      <c r="C589" t="s">
        <v>816</v>
      </c>
      <c r="D589" t="s">
        <v>97</v>
      </c>
      <c r="E589" t="s">
        <v>17</v>
      </c>
      <c r="F589" t="s">
        <v>767</v>
      </c>
      <c r="G589" t="s">
        <v>256</v>
      </c>
      <c r="H589" t="s">
        <v>11</v>
      </c>
      <c r="I589">
        <v>5</v>
      </c>
      <c r="J589" t="s">
        <v>90</v>
      </c>
      <c r="K589">
        <f t="shared" si="9"/>
        <v>13</v>
      </c>
      <c r="L589" cm="1">
        <f t="array" ref="L589">IFERROR(SUMPRODUCT((COUNTIF($D$2:$D$648,$D$2:$D$648)&gt;COUNTIF($D$2:$D$648,D589))/COUNTIF($D$2:$D$648,$D$2:$D$648))+1,"")</f>
        <v>7.999999999999992</v>
      </c>
    </row>
    <row r="590" spans="1:12" x14ac:dyDescent="0.3">
      <c r="A590" t="s">
        <v>205</v>
      </c>
      <c r="B590" s="3">
        <v>46069</v>
      </c>
      <c r="C590" t="s">
        <v>816</v>
      </c>
      <c r="D590" t="s">
        <v>78</v>
      </c>
      <c r="E590" t="s">
        <v>67</v>
      </c>
      <c r="F590" t="s">
        <v>768</v>
      </c>
      <c r="G590" t="s">
        <v>242</v>
      </c>
      <c r="H590" t="s">
        <v>11</v>
      </c>
      <c r="I590">
        <v>5</v>
      </c>
      <c r="J590" t="s">
        <v>112</v>
      </c>
      <c r="K590">
        <f t="shared" si="9"/>
        <v>7</v>
      </c>
      <c r="L590" cm="1">
        <f t="array" ref="L590">IFERROR(SUMPRODUCT((COUNTIF($D$2:$D$648,$D$2:$D$648)&gt;COUNTIF($D$2:$D$648,D590))/COUNTIF($D$2:$D$648,$D$2:$D$648))+1,"")</f>
        <v>31.999999999999968</v>
      </c>
    </row>
    <row r="591" spans="1:12" x14ac:dyDescent="0.3">
      <c r="A591" t="s">
        <v>205</v>
      </c>
      <c r="B591" s="3">
        <v>46069</v>
      </c>
      <c r="C591" t="s">
        <v>816</v>
      </c>
      <c r="D591" t="s">
        <v>209</v>
      </c>
      <c r="E591" t="s">
        <v>114</v>
      </c>
      <c r="F591" t="s">
        <v>355</v>
      </c>
      <c r="G591" t="s">
        <v>284</v>
      </c>
      <c r="H591" t="s">
        <v>11</v>
      </c>
      <c r="I591">
        <v>5</v>
      </c>
      <c r="J591" t="s">
        <v>135</v>
      </c>
      <c r="K591">
        <f t="shared" si="9"/>
        <v>1</v>
      </c>
      <c r="L591" cm="1">
        <f t="array" ref="L591">IFERROR(SUMPRODUCT((COUNTIF($D$2:$D$648,$D$2:$D$648)&gt;COUNTIF($D$2:$D$648,D591))/COUNTIF($D$2:$D$648,$D$2:$D$648))+1,"")</f>
        <v>80.000000000000426</v>
      </c>
    </row>
    <row r="592" spans="1:12" x14ac:dyDescent="0.3">
      <c r="A592" t="s">
        <v>205</v>
      </c>
      <c r="B592" s="3">
        <v>46069</v>
      </c>
      <c r="C592" t="s">
        <v>816</v>
      </c>
      <c r="D592" t="s">
        <v>138</v>
      </c>
      <c r="E592" t="s">
        <v>179</v>
      </c>
      <c r="F592" t="s">
        <v>356</v>
      </c>
      <c r="G592" t="s">
        <v>270</v>
      </c>
      <c r="H592" t="s">
        <v>11</v>
      </c>
      <c r="I592">
        <v>5</v>
      </c>
      <c r="J592" t="s">
        <v>65</v>
      </c>
      <c r="K592">
        <f t="shared" si="9"/>
        <v>5</v>
      </c>
      <c r="L592" cm="1">
        <f t="array" ref="L592">IFERROR(SUMPRODUCT((COUNTIF($D$2:$D$648,$D$2:$D$648)&gt;COUNTIF($D$2:$D$648,D592))/COUNTIF($D$2:$D$648,$D$2:$D$648))+1,"")</f>
        <v>43.000000000000199</v>
      </c>
    </row>
    <row r="593" spans="1:12" x14ac:dyDescent="0.3">
      <c r="A593" t="s">
        <v>205</v>
      </c>
      <c r="B593" s="3">
        <v>46069</v>
      </c>
      <c r="C593" t="s">
        <v>816</v>
      </c>
      <c r="D593" t="s">
        <v>9</v>
      </c>
      <c r="E593" t="s">
        <v>62</v>
      </c>
      <c r="F593" t="s">
        <v>357</v>
      </c>
      <c r="G593" t="s">
        <v>217</v>
      </c>
      <c r="H593" t="s">
        <v>11</v>
      </c>
      <c r="I593">
        <v>5</v>
      </c>
      <c r="J593" t="s">
        <v>12</v>
      </c>
      <c r="K593">
        <f t="shared" si="9"/>
        <v>5</v>
      </c>
      <c r="L593" cm="1">
        <f t="array" ref="L593">IFERROR(SUMPRODUCT((COUNTIF($D$2:$D$648,$D$2:$D$648)&gt;COUNTIF($D$2:$D$648,D593))/COUNTIF($D$2:$D$648,$D$2:$D$648))+1,"")</f>
        <v>43.000000000000199</v>
      </c>
    </row>
    <row r="594" spans="1:12" x14ac:dyDescent="0.3">
      <c r="A594" t="s">
        <v>205</v>
      </c>
      <c r="B594" s="3">
        <v>46069</v>
      </c>
      <c r="C594" t="s">
        <v>816</v>
      </c>
      <c r="D594" t="s">
        <v>148</v>
      </c>
      <c r="E594" t="s">
        <v>14</v>
      </c>
      <c r="F594" t="s">
        <v>769</v>
      </c>
      <c r="G594" t="s">
        <v>279</v>
      </c>
      <c r="H594" t="s">
        <v>11</v>
      </c>
      <c r="I594">
        <v>5</v>
      </c>
      <c r="J594" t="s">
        <v>135</v>
      </c>
      <c r="K594">
        <f t="shared" si="9"/>
        <v>4</v>
      </c>
      <c r="L594" cm="1">
        <f t="array" ref="L594">IFERROR(SUMPRODUCT((COUNTIF($D$2:$D$648,$D$2:$D$648)&gt;COUNTIF($D$2:$D$648,D594))/COUNTIF($D$2:$D$648,$D$2:$D$648))+1,"")</f>
        <v>52.000000000000306</v>
      </c>
    </row>
    <row r="595" spans="1:12" x14ac:dyDescent="0.3">
      <c r="A595" t="s">
        <v>205</v>
      </c>
      <c r="B595" s="3">
        <v>46070</v>
      </c>
      <c r="C595" t="s">
        <v>812</v>
      </c>
      <c r="D595" t="s">
        <v>126</v>
      </c>
      <c r="E595" t="s">
        <v>20</v>
      </c>
      <c r="F595" t="s">
        <v>770</v>
      </c>
      <c r="G595" t="s">
        <v>266</v>
      </c>
      <c r="H595" t="s">
        <v>11</v>
      </c>
      <c r="I595">
        <v>5</v>
      </c>
      <c r="J595" t="s">
        <v>75</v>
      </c>
      <c r="K595">
        <f t="shared" si="9"/>
        <v>25</v>
      </c>
      <c r="L595" cm="1">
        <f t="array" ref="L595">IFERROR(SUMPRODUCT((COUNTIF($D$2:$D$648,$D$2:$D$648)&gt;COUNTIF($D$2:$D$648,D595))/COUNTIF($D$2:$D$648,$D$2:$D$648))+1,"")</f>
        <v>2.0000000000000004</v>
      </c>
    </row>
    <row r="596" spans="1:12" x14ac:dyDescent="0.3">
      <c r="A596" t="s">
        <v>205</v>
      </c>
      <c r="B596" s="3">
        <v>46070</v>
      </c>
      <c r="C596" t="s">
        <v>812</v>
      </c>
      <c r="D596" t="s">
        <v>86</v>
      </c>
      <c r="E596" t="s">
        <v>57</v>
      </c>
      <c r="F596" t="s">
        <v>358</v>
      </c>
      <c r="G596" t="s">
        <v>248</v>
      </c>
      <c r="H596" t="s">
        <v>11</v>
      </c>
      <c r="I596">
        <v>5</v>
      </c>
      <c r="J596" t="s">
        <v>21</v>
      </c>
      <c r="K596">
        <f t="shared" si="9"/>
        <v>10</v>
      </c>
      <c r="L596" cm="1">
        <f t="array" ref="L596">IFERROR(SUMPRODUCT((COUNTIF($D$2:$D$648,$D$2:$D$648)&gt;COUNTIF($D$2:$D$648,D596))/COUNTIF($D$2:$D$648,$D$2:$D$648))+1,"")</f>
        <v>17.999999999999975</v>
      </c>
    </row>
    <row r="597" spans="1:12" x14ac:dyDescent="0.3">
      <c r="A597" t="s">
        <v>205</v>
      </c>
      <c r="B597" s="3">
        <v>46070</v>
      </c>
      <c r="C597" t="s">
        <v>812</v>
      </c>
      <c r="D597" t="s">
        <v>83</v>
      </c>
      <c r="E597" t="s">
        <v>14</v>
      </c>
      <c r="F597" t="s">
        <v>771</v>
      </c>
      <c r="G597" t="s">
        <v>247</v>
      </c>
      <c r="H597" t="s">
        <v>11</v>
      </c>
      <c r="I597">
        <v>5</v>
      </c>
      <c r="J597" t="s">
        <v>21</v>
      </c>
      <c r="K597">
        <f t="shared" si="9"/>
        <v>19</v>
      </c>
      <c r="L597" cm="1">
        <f t="array" ref="L597">IFERROR(SUMPRODUCT((COUNTIF($D$2:$D$648,$D$2:$D$648)&gt;COUNTIF($D$2:$D$648,D597))/COUNTIF($D$2:$D$648,$D$2:$D$648))+1,"")</f>
        <v>4</v>
      </c>
    </row>
    <row r="598" spans="1:12" x14ac:dyDescent="0.3">
      <c r="A598" t="s">
        <v>205</v>
      </c>
      <c r="B598" s="3">
        <v>46070</v>
      </c>
      <c r="C598" t="s">
        <v>812</v>
      </c>
      <c r="D598" t="s">
        <v>97</v>
      </c>
      <c r="E598" t="s">
        <v>17</v>
      </c>
      <c r="F598" t="s">
        <v>772</v>
      </c>
      <c r="G598" t="s">
        <v>256</v>
      </c>
      <c r="H598" t="s">
        <v>11</v>
      </c>
      <c r="I598">
        <v>5</v>
      </c>
      <c r="J598" t="s">
        <v>90</v>
      </c>
      <c r="K598">
        <f t="shared" si="9"/>
        <v>13</v>
      </c>
      <c r="L598" cm="1">
        <f t="array" ref="L598">IFERROR(SUMPRODUCT((COUNTIF($D$2:$D$648,$D$2:$D$648)&gt;COUNTIF($D$2:$D$648,D598))/COUNTIF($D$2:$D$648,$D$2:$D$648))+1,"")</f>
        <v>7.999999999999992</v>
      </c>
    </row>
    <row r="599" spans="1:12" x14ac:dyDescent="0.3">
      <c r="A599" t="s">
        <v>205</v>
      </c>
      <c r="B599" s="3">
        <v>46070</v>
      </c>
      <c r="C599" t="s">
        <v>812</v>
      </c>
      <c r="D599" t="s">
        <v>55</v>
      </c>
      <c r="E599" t="s">
        <v>23</v>
      </c>
      <c r="F599" t="s">
        <v>773</v>
      </c>
      <c r="G599" t="s">
        <v>231</v>
      </c>
      <c r="H599" t="s">
        <v>11</v>
      </c>
      <c r="I599">
        <v>5</v>
      </c>
      <c r="J599" t="s">
        <v>51</v>
      </c>
      <c r="K599">
        <f t="shared" si="9"/>
        <v>7</v>
      </c>
      <c r="L599" cm="1">
        <f t="array" ref="L599">IFERROR(SUMPRODUCT((COUNTIF($D$2:$D$648,$D$2:$D$648)&gt;COUNTIF($D$2:$D$648,D599))/COUNTIF($D$2:$D$648,$D$2:$D$648))+1,"")</f>
        <v>31.999999999999968</v>
      </c>
    </row>
    <row r="600" spans="1:12" x14ac:dyDescent="0.3">
      <c r="A600" t="s">
        <v>205</v>
      </c>
      <c r="B600" s="3">
        <v>46070</v>
      </c>
      <c r="C600" t="s">
        <v>812</v>
      </c>
      <c r="D600" t="s">
        <v>144</v>
      </c>
      <c r="E600" t="s">
        <v>67</v>
      </c>
      <c r="F600" t="s">
        <v>774</v>
      </c>
      <c r="G600" t="s">
        <v>244</v>
      </c>
      <c r="H600" t="s">
        <v>11</v>
      </c>
      <c r="I600">
        <v>5</v>
      </c>
      <c r="J600" t="s">
        <v>44</v>
      </c>
      <c r="K600">
        <f t="shared" si="9"/>
        <v>9</v>
      </c>
      <c r="L600" cm="1">
        <f t="array" ref="L600">IFERROR(SUMPRODUCT((COUNTIF($D$2:$D$648,$D$2:$D$648)&gt;COUNTIF($D$2:$D$648,D600))/COUNTIF($D$2:$D$648,$D$2:$D$648))+1,"")</f>
        <v>21.999999999999968</v>
      </c>
    </row>
    <row r="601" spans="1:12" x14ac:dyDescent="0.3">
      <c r="A601" t="s">
        <v>205</v>
      </c>
      <c r="B601" s="3">
        <v>46070</v>
      </c>
      <c r="C601" t="s">
        <v>812</v>
      </c>
      <c r="D601" t="s">
        <v>92</v>
      </c>
      <c r="E601" t="s">
        <v>84</v>
      </c>
      <c r="F601" t="s">
        <v>775</v>
      </c>
      <c r="G601" t="s">
        <v>225</v>
      </c>
      <c r="H601" t="s">
        <v>11</v>
      </c>
      <c r="I601">
        <v>7</v>
      </c>
      <c r="J601" t="s">
        <v>15</v>
      </c>
      <c r="K601">
        <f t="shared" si="9"/>
        <v>4</v>
      </c>
      <c r="L601" cm="1">
        <f t="array" ref="L601">IFERROR(SUMPRODUCT((COUNTIF($D$2:$D$648,$D$2:$D$648)&gt;COUNTIF($D$2:$D$648,D601))/COUNTIF($D$2:$D$648,$D$2:$D$648))+1,"")</f>
        <v>52.000000000000306</v>
      </c>
    </row>
    <row r="602" spans="1:12" x14ac:dyDescent="0.3">
      <c r="A602" t="s">
        <v>205</v>
      </c>
      <c r="B602" s="3">
        <v>46071</v>
      </c>
      <c r="C602" t="s">
        <v>814</v>
      </c>
      <c r="D602" t="s">
        <v>86</v>
      </c>
      <c r="E602" t="s">
        <v>210</v>
      </c>
      <c r="F602" t="s">
        <v>359</v>
      </c>
      <c r="G602" t="s">
        <v>248</v>
      </c>
      <c r="H602" t="s">
        <v>11</v>
      </c>
      <c r="I602">
        <v>3</v>
      </c>
      <c r="J602" t="s">
        <v>28</v>
      </c>
      <c r="K602">
        <f t="shared" si="9"/>
        <v>10</v>
      </c>
      <c r="L602" cm="1">
        <f t="array" ref="L602">IFERROR(SUMPRODUCT((COUNTIF($D$2:$D$648,$D$2:$D$648)&gt;COUNTIF($D$2:$D$648,D602))/COUNTIF($D$2:$D$648,$D$2:$D$648))+1,"")</f>
        <v>17.999999999999975</v>
      </c>
    </row>
    <row r="603" spans="1:12" x14ac:dyDescent="0.3">
      <c r="A603" t="s">
        <v>205</v>
      </c>
      <c r="B603" s="3">
        <v>46071</v>
      </c>
      <c r="C603" t="s">
        <v>814</v>
      </c>
      <c r="D603" t="s">
        <v>146</v>
      </c>
      <c r="E603" t="s">
        <v>14</v>
      </c>
      <c r="F603" t="s">
        <v>776</v>
      </c>
      <c r="G603" t="s">
        <v>275</v>
      </c>
      <c r="H603" t="s">
        <v>11</v>
      </c>
      <c r="I603">
        <v>2</v>
      </c>
      <c r="J603" t="s">
        <v>211</v>
      </c>
      <c r="K603">
        <f t="shared" si="9"/>
        <v>3</v>
      </c>
      <c r="L603" cm="1">
        <f t="array" ref="L603">IFERROR(SUMPRODUCT((COUNTIF($D$2:$D$648,$D$2:$D$648)&gt;COUNTIF($D$2:$D$648,D603))/COUNTIF($D$2:$D$648,$D$2:$D$648))+1,"")</f>
        <v>58.000000000000348</v>
      </c>
    </row>
    <row r="604" spans="1:12" x14ac:dyDescent="0.3">
      <c r="A604" t="s">
        <v>205</v>
      </c>
      <c r="B604" s="3">
        <v>46071</v>
      </c>
      <c r="C604" t="s">
        <v>814</v>
      </c>
      <c r="D604" t="s">
        <v>96</v>
      </c>
      <c r="E604" t="s">
        <v>67</v>
      </c>
      <c r="F604" t="s">
        <v>777</v>
      </c>
      <c r="G604" t="s">
        <v>255</v>
      </c>
      <c r="H604" t="s">
        <v>11</v>
      </c>
      <c r="I604">
        <v>3</v>
      </c>
      <c r="J604" t="s">
        <v>28</v>
      </c>
      <c r="K604">
        <f t="shared" si="9"/>
        <v>8</v>
      </c>
      <c r="L604" cm="1">
        <f t="array" ref="L604">IFERROR(SUMPRODUCT((COUNTIF($D$2:$D$648,$D$2:$D$648)&gt;COUNTIF($D$2:$D$648,D604))/COUNTIF($D$2:$D$648,$D$2:$D$648))+1,"")</f>
        <v>24.999999999999957</v>
      </c>
    </row>
    <row r="605" spans="1:12" x14ac:dyDescent="0.3">
      <c r="A605" t="s">
        <v>205</v>
      </c>
      <c r="B605" s="3">
        <v>46071</v>
      </c>
      <c r="C605" t="s">
        <v>814</v>
      </c>
      <c r="D605" t="s">
        <v>97</v>
      </c>
      <c r="E605" t="s">
        <v>17</v>
      </c>
      <c r="F605" t="s">
        <v>772</v>
      </c>
      <c r="G605" t="s">
        <v>256</v>
      </c>
      <c r="H605" t="s">
        <v>11</v>
      </c>
      <c r="I605">
        <v>3</v>
      </c>
      <c r="J605" t="s">
        <v>98</v>
      </c>
      <c r="K605">
        <f t="shared" si="9"/>
        <v>13</v>
      </c>
      <c r="L605" cm="1">
        <f t="array" ref="L605">IFERROR(SUMPRODUCT((COUNTIF($D$2:$D$648,$D$2:$D$648)&gt;COUNTIF($D$2:$D$648,D605))/COUNTIF($D$2:$D$648,$D$2:$D$648))+1,"")</f>
        <v>7.999999999999992</v>
      </c>
    </row>
    <row r="606" spans="1:12" x14ac:dyDescent="0.3">
      <c r="A606" t="s">
        <v>205</v>
      </c>
      <c r="B606" s="3">
        <v>46071</v>
      </c>
      <c r="C606" t="s">
        <v>814</v>
      </c>
      <c r="D606" t="s">
        <v>139</v>
      </c>
      <c r="E606" t="s">
        <v>20</v>
      </c>
      <c r="F606" t="s">
        <v>778</v>
      </c>
      <c r="G606" t="s">
        <v>271</v>
      </c>
      <c r="H606" t="s">
        <v>11</v>
      </c>
      <c r="I606">
        <v>3</v>
      </c>
      <c r="J606" t="s">
        <v>98</v>
      </c>
      <c r="K606">
        <f t="shared" si="9"/>
        <v>5</v>
      </c>
      <c r="L606" cm="1">
        <f t="array" ref="L606">IFERROR(SUMPRODUCT((COUNTIF($D$2:$D$648,$D$2:$D$648)&gt;COUNTIF($D$2:$D$648,D606))/COUNTIF($D$2:$D$648,$D$2:$D$648))+1,"")</f>
        <v>43.000000000000199</v>
      </c>
    </row>
    <row r="607" spans="1:12" x14ac:dyDescent="0.3">
      <c r="A607" t="s">
        <v>205</v>
      </c>
      <c r="B607" s="3">
        <v>46071</v>
      </c>
      <c r="C607" t="s">
        <v>814</v>
      </c>
      <c r="D607" t="s">
        <v>105</v>
      </c>
      <c r="E607" t="s">
        <v>23</v>
      </c>
      <c r="F607" t="s">
        <v>779</v>
      </c>
      <c r="G607" t="s">
        <v>259</v>
      </c>
      <c r="H607" t="s">
        <v>11</v>
      </c>
      <c r="I607">
        <v>3</v>
      </c>
      <c r="J607" t="s">
        <v>29</v>
      </c>
      <c r="K607">
        <f t="shared" si="9"/>
        <v>20</v>
      </c>
      <c r="L607" cm="1">
        <f t="array" ref="L607">IFERROR(SUMPRODUCT((COUNTIF($D$2:$D$648,$D$2:$D$648)&gt;COUNTIF($D$2:$D$648,D607))/COUNTIF($D$2:$D$648,$D$2:$D$648))+1,"")</f>
        <v>3.0000000000000009</v>
      </c>
    </row>
    <row r="608" spans="1:12" x14ac:dyDescent="0.3">
      <c r="A608" t="s">
        <v>205</v>
      </c>
      <c r="B608" s="3">
        <v>46072</v>
      </c>
      <c r="C608" t="s">
        <v>817</v>
      </c>
      <c r="D608" t="s">
        <v>94</v>
      </c>
      <c r="E608" t="s">
        <v>46</v>
      </c>
      <c r="G608" t="s">
        <v>253</v>
      </c>
      <c r="H608" t="s">
        <v>11</v>
      </c>
      <c r="I608">
        <v>3</v>
      </c>
      <c r="J608" t="s">
        <v>59</v>
      </c>
      <c r="K608">
        <f t="shared" si="9"/>
        <v>10</v>
      </c>
      <c r="L608" cm="1">
        <f t="array" ref="L608">IFERROR(SUMPRODUCT((COUNTIF($D$2:$D$648,$D$2:$D$648)&gt;COUNTIF($D$2:$D$648,D608))/COUNTIF($D$2:$D$648,$D$2:$D$648))+1,"")</f>
        <v>17.999999999999975</v>
      </c>
    </row>
    <row r="609" spans="1:12" x14ac:dyDescent="0.3">
      <c r="A609" t="s">
        <v>205</v>
      </c>
      <c r="B609" s="3">
        <v>46072</v>
      </c>
      <c r="C609" t="s">
        <v>817</v>
      </c>
      <c r="D609" t="s">
        <v>207</v>
      </c>
      <c r="E609" t="s">
        <v>17</v>
      </c>
      <c r="F609" t="s">
        <v>772</v>
      </c>
      <c r="G609" t="s">
        <v>248</v>
      </c>
      <c r="H609" t="s">
        <v>11</v>
      </c>
      <c r="I609">
        <v>3</v>
      </c>
      <c r="J609" t="s">
        <v>35</v>
      </c>
      <c r="K609">
        <f t="shared" si="9"/>
        <v>11</v>
      </c>
      <c r="L609" cm="1">
        <f t="array" ref="L609">IFERROR(SUMPRODUCT((COUNTIF($D$2:$D$648,$D$2:$D$648)&gt;COUNTIF($D$2:$D$648,D609))/COUNTIF($D$2:$D$648,$D$2:$D$648))+1,"")</f>
        <v>11.999999999999961</v>
      </c>
    </row>
    <row r="610" spans="1:12" x14ac:dyDescent="0.3">
      <c r="A610" t="s">
        <v>205</v>
      </c>
      <c r="B610" s="3">
        <v>46072</v>
      </c>
      <c r="C610" t="s">
        <v>817</v>
      </c>
      <c r="D610" t="s">
        <v>212</v>
      </c>
      <c r="E610" t="s">
        <v>23</v>
      </c>
      <c r="F610" t="s">
        <v>780</v>
      </c>
      <c r="G610" t="s">
        <v>241</v>
      </c>
      <c r="H610" t="s">
        <v>11</v>
      </c>
      <c r="I610">
        <v>3</v>
      </c>
      <c r="J610" t="s">
        <v>35</v>
      </c>
      <c r="K610">
        <f t="shared" si="9"/>
        <v>1</v>
      </c>
      <c r="L610" cm="1">
        <f t="array" ref="L610">IFERROR(SUMPRODUCT((COUNTIF($D$2:$D$648,$D$2:$D$648)&gt;COUNTIF($D$2:$D$648,D610))/COUNTIF($D$2:$D$648,$D$2:$D$648))+1,"")</f>
        <v>80.000000000000426</v>
      </c>
    </row>
    <row r="611" spans="1:12" x14ac:dyDescent="0.3">
      <c r="A611" t="s">
        <v>205</v>
      </c>
      <c r="B611" s="3">
        <v>46072</v>
      </c>
      <c r="C611" t="s">
        <v>817</v>
      </c>
      <c r="D611" t="s">
        <v>42</v>
      </c>
      <c r="E611" t="s">
        <v>84</v>
      </c>
      <c r="F611" t="s">
        <v>781</v>
      </c>
      <c r="G611" t="s">
        <v>225</v>
      </c>
      <c r="H611" t="s">
        <v>11</v>
      </c>
      <c r="I611">
        <v>4</v>
      </c>
      <c r="J611" t="s">
        <v>40</v>
      </c>
      <c r="K611">
        <f t="shared" si="9"/>
        <v>5</v>
      </c>
      <c r="L611" cm="1">
        <f t="array" ref="L611">IFERROR(SUMPRODUCT((COUNTIF($D$2:$D$648,$D$2:$D$648)&gt;COUNTIF($D$2:$D$648,D611))/COUNTIF($D$2:$D$648,$D$2:$D$648))+1,"")</f>
        <v>43.000000000000199</v>
      </c>
    </row>
    <row r="612" spans="1:12" x14ac:dyDescent="0.3">
      <c r="A612" t="s">
        <v>205</v>
      </c>
      <c r="B612" s="3">
        <v>46072</v>
      </c>
      <c r="C612" t="s">
        <v>817</v>
      </c>
      <c r="D612" t="s">
        <v>76</v>
      </c>
      <c r="E612" t="s">
        <v>20</v>
      </c>
      <c r="F612" t="s">
        <v>782</v>
      </c>
      <c r="G612" t="s">
        <v>229</v>
      </c>
      <c r="H612" t="s">
        <v>11</v>
      </c>
      <c r="I612">
        <v>3</v>
      </c>
      <c r="J612" t="s">
        <v>59</v>
      </c>
      <c r="K612">
        <f t="shared" si="9"/>
        <v>11</v>
      </c>
      <c r="L612" cm="1">
        <f t="array" ref="L612">IFERROR(SUMPRODUCT((COUNTIF($D$2:$D$648,$D$2:$D$648)&gt;COUNTIF($D$2:$D$648,D612))/COUNTIF($D$2:$D$648,$D$2:$D$648))+1,"")</f>
        <v>11.999999999999961</v>
      </c>
    </row>
    <row r="613" spans="1:12" x14ac:dyDescent="0.3">
      <c r="A613" t="s">
        <v>205</v>
      </c>
      <c r="B613" s="3">
        <v>46073</v>
      </c>
      <c r="C613" t="s">
        <v>815</v>
      </c>
      <c r="D613" t="s">
        <v>207</v>
      </c>
      <c r="E613" t="s">
        <v>17</v>
      </c>
      <c r="F613" t="s">
        <v>772</v>
      </c>
      <c r="G613" t="s">
        <v>248</v>
      </c>
      <c r="H613" t="s">
        <v>11</v>
      </c>
      <c r="I613">
        <v>5</v>
      </c>
      <c r="J613" t="s">
        <v>21</v>
      </c>
      <c r="K613">
        <f t="shared" si="9"/>
        <v>11</v>
      </c>
      <c r="L613" cm="1">
        <f t="array" ref="L613">IFERROR(SUMPRODUCT((COUNTIF($D$2:$D$648,$D$2:$D$648)&gt;COUNTIF($D$2:$D$648,D613))/COUNTIF($D$2:$D$648,$D$2:$D$648))+1,"")</f>
        <v>11.999999999999961</v>
      </c>
    </row>
    <row r="614" spans="1:12" x14ac:dyDescent="0.3">
      <c r="A614" t="s">
        <v>205</v>
      </c>
      <c r="B614" s="3">
        <v>46073</v>
      </c>
      <c r="C614" t="s">
        <v>815</v>
      </c>
      <c r="D614" t="s">
        <v>76</v>
      </c>
      <c r="E614" t="s">
        <v>20</v>
      </c>
      <c r="F614" t="s">
        <v>782</v>
      </c>
      <c r="G614" t="s">
        <v>229</v>
      </c>
      <c r="H614" t="s">
        <v>11</v>
      </c>
      <c r="I614">
        <v>5</v>
      </c>
      <c r="J614" t="s">
        <v>51</v>
      </c>
      <c r="K614">
        <f t="shared" si="9"/>
        <v>11</v>
      </c>
      <c r="L614" cm="1">
        <f t="array" ref="L614">IFERROR(SUMPRODUCT((COUNTIF($D$2:$D$648,$D$2:$D$648)&gt;COUNTIF($D$2:$D$648,D614))/COUNTIF($D$2:$D$648,$D$2:$D$648))+1,"")</f>
        <v>11.999999999999961</v>
      </c>
    </row>
    <row r="615" spans="1:12" x14ac:dyDescent="0.3">
      <c r="A615" t="s">
        <v>205</v>
      </c>
      <c r="B615" s="3">
        <v>46073</v>
      </c>
      <c r="C615" t="s">
        <v>815</v>
      </c>
      <c r="D615" t="s">
        <v>83</v>
      </c>
      <c r="E615" t="s">
        <v>23</v>
      </c>
      <c r="F615" t="s">
        <v>783</v>
      </c>
      <c r="G615" t="s">
        <v>247</v>
      </c>
      <c r="H615" t="s">
        <v>11</v>
      </c>
      <c r="I615">
        <v>5</v>
      </c>
      <c r="J615" t="s">
        <v>21</v>
      </c>
      <c r="K615">
        <f t="shared" si="9"/>
        <v>19</v>
      </c>
      <c r="L615" cm="1">
        <f t="array" ref="L615">IFERROR(SUMPRODUCT((COUNTIF($D$2:$D$648,$D$2:$D$648)&gt;COUNTIF($D$2:$D$648,D615))/COUNTIF($D$2:$D$648,$D$2:$D$648))+1,"")</f>
        <v>4</v>
      </c>
    </row>
    <row r="616" spans="1:12" x14ac:dyDescent="0.3">
      <c r="A616" t="s">
        <v>205</v>
      </c>
      <c r="B616" s="3">
        <v>46073</v>
      </c>
      <c r="C616" t="s">
        <v>815</v>
      </c>
      <c r="D616" t="s">
        <v>42</v>
      </c>
      <c r="E616" t="s">
        <v>84</v>
      </c>
      <c r="F616" t="s">
        <v>781</v>
      </c>
      <c r="G616" t="s">
        <v>225</v>
      </c>
      <c r="H616" t="s">
        <v>11</v>
      </c>
      <c r="I616">
        <v>7</v>
      </c>
      <c r="J616" t="s">
        <v>15</v>
      </c>
      <c r="K616">
        <f t="shared" si="9"/>
        <v>5</v>
      </c>
      <c r="L616" cm="1">
        <f t="array" ref="L616">IFERROR(SUMPRODUCT((COUNTIF($D$2:$D$648,$D$2:$D$648)&gt;COUNTIF($D$2:$D$648,D616))/COUNTIF($D$2:$D$648,$D$2:$D$648))+1,"")</f>
        <v>43.000000000000199</v>
      </c>
    </row>
    <row r="617" spans="1:12" x14ac:dyDescent="0.3">
      <c r="A617" t="s">
        <v>205</v>
      </c>
      <c r="B617" s="3">
        <v>46073</v>
      </c>
      <c r="C617" t="s">
        <v>815</v>
      </c>
      <c r="D617" t="s">
        <v>45</v>
      </c>
      <c r="E617" t="s">
        <v>67</v>
      </c>
      <c r="F617" t="s">
        <v>784</v>
      </c>
      <c r="G617" t="s">
        <v>227</v>
      </c>
      <c r="H617" t="s">
        <v>11</v>
      </c>
      <c r="I617">
        <v>6</v>
      </c>
      <c r="J617" t="s">
        <v>47</v>
      </c>
      <c r="K617">
        <f t="shared" si="9"/>
        <v>7</v>
      </c>
      <c r="L617" cm="1">
        <f t="array" ref="L617">IFERROR(SUMPRODUCT((COUNTIF($D$2:$D$648,$D$2:$D$648)&gt;COUNTIF($D$2:$D$648,D617))/COUNTIF($D$2:$D$648,$D$2:$D$648))+1,"")</f>
        <v>31.999999999999968</v>
      </c>
    </row>
    <row r="618" spans="1:12" x14ac:dyDescent="0.3">
      <c r="A618" t="s">
        <v>205</v>
      </c>
      <c r="B618" s="3">
        <v>46076</v>
      </c>
      <c r="C618" t="s">
        <v>816</v>
      </c>
      <c r="D618" t="s">
        <v>144</v>
      </c>
      <c r="E618" t="s">
        <v>20</v>
      </c>
      <c r="F618" t="s">
        <v>785</v>
      </c>
      <c r="G618" t="s">
        <v>244</v>
      </c>
      <c r="H618" t="s">
        <v>11</v>
      </c>
      <c r="I618">
        <v>5</v>
      </c>
      <c r="J618" t="s">
        <v>44</v>
      </c>
      <c r="K618">
        <f t="shared" si="9"/>
        <v>9</v>
      </c>
      <c r="L618" cm="1">
        <f t="array" ref="L618">IFERROR(SUMPRODUCT((COUNTIF($D$2:$D$648,$D$2:$D$648)&gt;COUNTIF($D$2:$D$648,D618))/COUNTIF($D$2:$D$648,$D$2:$D$648))+1,"")</f>
        <v>21.999999999999968</v>
      </c>
    </row>
    <row r="619" spans="1:12" x14ac:dyDescent="0.3">
      <c r="A619" t="s">
        <v>205</v>
      </c>
      <c r="B619" s="3">
        <v>46076</v>
      </c>
      <c r="C619" t="s">
        <v>816</v>
      </c>
      <c r="D619" t="s">
        <v>43</v>
      </c>
      <c r="E619" t="s">
        <v>23</v>
      </c>
      <c r="F619" t="s">
        <v>786</v>
      </c>
      <c r="G619" t="s">
        <v>252</v>
      </c>
      <c r="H619" t="s">
        <v>11</v>
      </c>
      <c r="I619">
        <v>5</v>
      </c>
      <c r="J619" t="s">
        <v>44</v>
      </c>
      <c r="K619">
        <f t="shared" si="9"/>
        <v>15</v>
      </c>
      <c r="L619" cm="1">
        <f t="array" ref="L619">IFERROR(SUMPRODUCT((COUNTIF($D$2:$D$648,$D$2:$D$648)&gt;COUNTIF($D$2:$D$648,D619))/COUNTIF($D$2:$D$648,$D$2:$D$648))+1,"")</f>
        <v>6.9999999999999947</v>
      </c>
    </row>
    <row r="620" spans="1:12" x14ac:dyDescent="0.3">
      <c r="A620" t="s">
        <v>205</v>
      </c>
      <c r="B620" s="3">
        <v>46076</v>
      </c>
      <c r="C620" t="s">
        <v>816</v>
      </c>
      <c r="D620" t="s">
        <v>152</v>
      </c>
      <c r="E620" t="s">
        <v>17</v>
      </c>
      <c r="F620" t="s">
        <v>787</v>
      </c>
      <c r="G620" t="s">
        <v>258</v>
      </c>
      <c r="H620" t="s">
        <v>11</v>
      </c>
      <c r="I620">
        <v>5</v>
      </c>
      <c r="J620" t="s">
        <v>90</v>
      </c>
      <c r="K620">
        <f t="shared" si="9"/>
        <v>7</v>
      </c>
      <c r="L620" cm="1">
        <f t="array" ref="L620">IFERROR(SUMPRODUCT((COUNTIF($D$2:$D$648,$D$2:$D$648)&gt;COUNTIF($D$2:$D$648,D620))/COUNTIF($D$2:$D$648,$D$2:$D$648))+1,"")</f>
        <v>31.999999999999968</v>
      </c>
    </row>
    <row r="621" spans="1:12" x14ac:dyDescent="0.3">
      <c r="A621" t="s">
        <v>205</v>
      </c>
      <c r="B621" s="3">
        <v>46076</v>
      </c>
      <c r="C621" t="s">
        <v>816</v>
      </c>
      <c r="D621" t="s">
        <v>207</v>
      </c>
      <c r="E621" t="s">
        <v>67</v>
      </c>
      <c r="F621" t="s">
        <v>788</v>
      </c>
      <c r="G621" t="s">
        <v>248</v>
      </c>
      <c r="H621" t="s">
        <v>11</v>
      </c>
      <c r="I621">
        <v>5</v>
      </c>
      <c r="J621" t="s">
        <v>21</v>
      </c>
      <c r="K621">
        <f t="shared" si="9"/>
        <v>11</v>
      </c>
      <c r="L621" cm="1">
        <f t="array" ref="L621">IFERROR(SUMPRODUCT((COUNTIF($D$2:$D$648,$D$2:$D$648)&gt;COUNTIF($D$2:$D$648,D621))/COUNTIF($D$2:$D$648,$D$2:$D$648))+1,"")</f>
        <v>11.999999999999961</v>
      </c>
    </row>
    <row r="622" spans="1:12" x14ac:dyDescent="0.3">
      <c r="A622" t="s">
        <v>205</v>
      </c>
      <c r="B622" s="3">
        <v>46076</v>
      </c>
      <c r="C622" t="s">
        <v>816</v>
      </c>
      <c r="D622" t="s">
        <v>78</v>
      </c>
      <c r="E622" t="s">
        <v>14</v>
      </c>
      <c r="F622" t="s">
        <v>789</v>
      </c>
      <c r="G622" t="s">
        <v>242</v>
      </c>
      <c r="H622" t="s">
        <v>11</v>
      </c>
      <c r="I622">
        <v>5</v>
      </c>
      <c r="J622" t="s">
        <v>112</v>
      </c>
      <c r="K622">
        <f t="shared" si="9"/>
        <v>7</v>
      </c>
      <c r="L622" cm="1">
        <f t="array" ref="L622">IFERROR(SUMPRODUCT((COUNTIF($D$2:$D$648,$D$2:$D$648)&gt;COUNTIF($D$2:$D$648,D622))/COUNTIF($D$2:$D$648,$D$2:$D$648))+1,"")</f>
        <v>31.999999999999968</v>
      </c>
    </row>
    <row r="623" spans="1:12" x14ac:dyDescent="0.3">
      <c r="A623" t="s">
        <v>205</v>
      </c>
      <c r="B623" s="3">
        <v>46076</v>
      </c>
      <c r="C623" t="s">
        <v>816</v>
      </c>
      <c r="D623" t="s">
        <v>206</v>
      </c>
      <c r="E623" t="s">
        <v>84</v>
      </c>
      <c r="F623" t="s">
        <v>790</v>
      </c>
      <c r="G623" t="s">
        <v>225</v>
      </c>
      <c r="H623" t="s">
        <v>11</v>
      </c>
      <c r="I623">
        <v>7</v>
      </c>
      <c r="J623" t="s">
        <v>15</v>
      </c>
      <c r="K623">
        <f t="shared" si="9"/>
        <v>13</v>
      </c>
      <c r="L623" cm="1">
        <f t="array" ref="L623">IFERROR(SUMPRODUCT((COUNTIF($D$2:$D$648,$D$2:$D$648)&gt;COUNTIF($D$2:$D$648,D623))/COUNTIF($D$2:$D$648,$D$2:$D$648))+1,"")</f>
        <v>7.999999999999992</v>
      </c>
    </row>
    <row r="624" spans="1:12" x14ac:dyDescent="0.3">
      <c r="A624" t="s">
        <v>205</v>
      </c>
      <c r="B624" s="3">
        <v>46077</v>
      </c>
      <c r="C624" t="s">
        <v>812</v>
      </c>
      <c r="D624" t="s">
        <v>144</v>
      </c>
      <c r="E624" t="s">
        <v>20</v>
      </c>
      <c r="F624" t="s">
        <v>785</v>
      </c>
      <c r="G624" t="s">
        <v>244</v>
      </c>
      <c r="H624" t="s">
        <v>11</v>
      </c>
      <c r="I624">
        <v>5</v>
      </c>
      <c r="J624" t="s">
        <v>44</v>
      </c>
      <c r="K624">
        <f t="shared" si="9"/>
        <v>9</v>
      </c>
      <c r="L624" cm="1">
        <f t="array" ref="L624">IFERROR(SUMPRODUCT((COUNTIF($D$2:$D$648,$D$2:$D$648)&gt;COUNTIF($D$2:$D$648,D624))/COUNTIF($D$2:$D$648,$D$2:$D$648))+1,"")</f>
        <v>21.999999999999968</v>
      </c>
    </row>
    <row r="625" spans="1:12" x14ac:dyDescent="0.3">
      <c r="A625" t="s">
        <v>205</v>
      </c>
      <c r="B625" s="3">
        <v>46077</v>
      </c>
      <c r="C625" t="s">
        <v>812</v>
      </c>
      <c r="D625" t="s">
        <v>43</v>
      </c>
      <c r="E625" t="s">
        <v>23</v>
      </c>
      <c r="F625" t="s">
        <v>786</v>
      </c>
      <c r="G625" t="s">
        <v>252</v>
      </c>
      <c r="H625" t="s">
        <v>11</v>
      </c>
      <c r="I625">
        <v>5</v>
      </c>
      <c r="J625" t="s">
        <v>44</v>
      </c>
      <c r="K625">
        <f t="shared" si="9"/>
        <v>15</v>
      </c>
      <c r="L625" cm="1">
        <f t="array" ref="L625">IFERROR(SUMPRODUCT((COUNTIF($D$2:$D$648,$D$2:$D$648)&gt;COUNTIF($D$2:$D$648,D625))/COUNTIF($D$2:$D$648,$D$2:$D$648))+1,"")</f>
        <v>6.9999999999999947</v>
      </c>
    </row>
    <row r="626" spans="1:12" x14ac:dyDescent="0.3">
      <c r="A626" t="s">
        <v>205</v>
      </c>
      <c r="B626" s="3">
        <v>46077</v>
      </c>
      <c r="C626" t="s">
        <v>812</v>
      </c>
      <c r="D626" t="s">
        <v>152</v>
      </c>
      <c r="E626" t="s">
        <v>17</v>
      </c>
      <c r="F626" t="s">
        <v>787</v>
      </c>
      <c r="G626" t="s">
        <v>258</v>
      </c>
      <c r="H626" t="s">
        <v>11</v>
      </c>
      <c r="I626">
        <v>5</v>
      </c>
      <c r="J626" t="s">
        <v>90</v>
      </c>
      <c r="K626">
        <f t="shared" si="9"/>
        <v>7</v>
      </c>
      <c r="L626" cm="1">
        <f t="array" ref="L626">IFERROR(SUMPRODUCT((COUNTIF($D$2:$D$648,$D$2:$D$648)&gt;COUNTIF($D$2:$D$648,D626))/COUNTIF($D$2:$D$648,$D$2:$D$648))+1,"")</f>
        <v>31.999999999999968</v>
      </c>
    </row>
    <row r="627" spans="1:12" x14ac:dyDescent="0.3">
      <c r="A627" t="s">
        <v>205</v>
      </c>
      <c r="B627" s="3">
        <v>46077</v>
      </c>
      <c r="C627" t="s">
        <v>812</v>
      </c>
      <c r="D627" t="s">
        <v>207</v>
      </c>
      <c r="E627" t="s">
        <v>67</v>
      </c>
      <c r="F627" t="s">
        <v>788</v>
      </c>
      <c r="G627" t="s">
        <v>248</v>
      </c>
      <c r="H627" t="s">
        <v>11</v>
      </c>
      <c r="I627">
        <v>5</v>
      </c>
      <c r="J627" t="s">
        <v>21</v>
      </c>
      <c r="K627">
        <f t="shared" si="9"/>
        <v>11</v>
      </c>
      <c r="L627" cm="1">
        <f t="array" ref="L627">IFERROR(SUMPRODUCT((COUNTIF($D$2:$D$648,$D$2:$D$648)&gt;COUNTIF($D$2:$D$648,D627))/COUNTIF($D$2:$D$648,$D$2:$D$648))+1,"")</f>
        <v>11.999999999999961</v>
      </c>
    </row>
    <row r="628" spans="1:12" x14ac:dyDescent="0.3">
      <c r="A628" t="s">
        <v>205</v>
      </c>
      <c r="B628" s="3">
        <v>46077</v>
      </c>
      <c r="C628" t="s">
        <v>812</v>
      </c>
      <c r="D628" t="s">
        <v>74</v>
      </c>
      <c r="E628" t="s">
        <v>14</v>
      </c>
      <c r="F628" t="s">
        <v>791</v>
      </c>
      <c r="G628" t="s">
        <v>241</v>
      </c>
      <c r="H628" t="s">
        <v>11</v>
      </c>
      <c r="I628">
        <v>5</v>
      </c>
      <c r="J628" t="s">
        <v>75</v>
      </c>
      <c r="K628">
        <f t="shared" si="9"/>
        <v>9</v>
      </c>
      <c r="L628" cm="1">
        <f t="array" ref="L628">IFERROR(SUMPRODUCT((COUNTIF($D$2:$D$648,$D$2:$D$648)&gt;COUNTIF($D$2:$D$648,D628))/COUNTIF($D$2:$D$648,$D$2:$D$648))+1,"")</f>
        <v>21.999999999999968</v>
      </c>
    </row>
    <row r="629" spans="1:12" x14ac:dyDescent="0.3">
      <c r="A629" t="s">
        <v>205</v>
      </c>
      <c r="B629" s="3">
        <v>46077</v>
      </c>
      <c r="C629" t="s">
        <v>812</v>
      </c>
      <c r="D629" t="s">
        <v>206</v>
      </c>
      <c r="E629" t="s">
        <v>84</v>
      </c>
      <c r="F629" t="s">
        <v>790</v>
      </c>
      <c r="G629" t="s">
        <v>225</v>
      </c>
      <c r="H629" t="s">
        <v>11</v>
      </c>
      <c r="I629">
        <v>7</v>
      </c>
      <c r="J629" t="s">
        <v>15</v>
      </c>
      <c r="K629">
        <f t="shared" si="9"/>
        <v>13</v>
      </c>
      <c r="L629" cm="1">
        <f t="array" ref="L629">IFERROR(SUMPRODUCT((COUNTIF($D$2:$D$648,$D$2:$D$648)&gt;COUNTIF($D$2:$D$648,D629))/COUNTIF($D$2:$D$648,$D$2:$D$648))+1,"")</f>
        <v>7.999999999999992</v>
      </c>
    </row>
    <row r="630" spans="1:12" x14ac:dyDescent="0.3">
      <c r="A630" t="s">
        <v>205</v>
      </c>
      <c r="B630" s="3">
        <v>46078</v>
      </c>
      <c r="C630" t="s">
        <v>814</v>
      </c>
      <c r="D630" t="s">
        <v>207</v>
      </c>
      <c r="E630" t="s">
        <v>67</v>
      </c>
      <c r="F630" t="s">
        <v>788</v>
      </c>
      <c r="G630" t="s">
        <v>248</v>
      </c>
      <c r="H630" t="s">
        <v>11</v>
      </c>
      <c r="I630">
        <v>3</v>
      </c>
      <c r="J630" t="s">
        <v>28</v>
      </c>
      <c r="K630">
        <f t="shared" si="9"/>
        <v>11</v>
      </c>
      <c r="L630" cm="1">
        <f t="array" ref="L630">IFERROR(SUMPRODUCT((COUNTIF($D$2:$D$648,$D$2:$D$648)&gt;COUNTIF($D$2:$D$648,D630))/COUNTIF($D$2:$D$648,$D$2:$D$648))+1,"")</f>
        <v>11.999999999999961</v>
      </c>
    </row>
    <row r="631" spans="1:12" x14ac:dyDescent="0.3">
      <c r="A631" t="s">
        <v>205</v>
      </c>
      <c r="B631" s="3">
        <v>46078</v>
      </c>
      <c r="C631" t="s">
        <v>814</v>
      </c>
      <c r="D631" t="s">
        <v>95</v>
      </c>
      <c r="E631" t="s">
        <v>46</v>
      </c>
      <c r="F631" t="s">
        <v>360</v>
      </c>
      <c r="G631" t="s">
        <v>254</v>
      </c>
      <c r="H631" t="s">
        <v>11</v>
      </c>
      <c r="I631">
        <v>3</v>
      </c>
      <c r="J631" t="s">
        <v>98</v>
      </c>
      <c r="K631">
        <f t="shared" si="9"/>
        <v>11</v>
      </c>
      <c r="L631" cm="1">
        <f t="array" ref="L631">IFERROR(SUMPRODUCT((COUNTIF($D$2:$D$648,$D$2:$D$648)&gt;COUNTIF($D$2:$D$648,D631))/COUNTIF($D$2:$D$648,$D$2:$D$648))+1,"")</f>
        <v>11.999999999999961</v>
      </c>
    </row>
    <row r="632" spans="1:12" x14ac:dyDescent="0.3">
      <c r="A632" t="s">
        <v>205</v>
      </c>
      <c r="B632" s="3">
        <v>46078</v>
      </c>
      <c r="C632" t="s">
        <v>814</v>
      </c>
      <c r="D632" t="s">
        <v>152</v>
      </c>
      <c r="E632" t="s">
        <v>23</v>
      </c>
      <c r="F632" t="s">
        <v>792</v>
      </c>
      <c r="G632" t="s">
        <v>258</v>
      </c>
      <c r="H632" t="s">
        <v>11</v>
      </c>
      <c r="I632">
        <v>3</v>
      </c>
      <c r="J632" t="s">
        <v>98</v>
      </c>
      <c r="K632">
        <f t="shared" si="9"/>
        <v>7</v>
      </c>
      <c r="L632" cm="1">
        <f t="array" ref="L632">IFERROR(SUMPRODUCT((COUNTIF($D$2:$D$648,$D$2:$D$648)&gt;COUNTIF($D$2:$D$648,D632))/COUNTIF($D$2:$D$648,$D$2:$D$648))+1,"")</f>
        <v>31.999999999999968</v>
      </c>
    </row>
    <row r="633" spans="1:12" x14ac:dyDescent="0.3">
      <c r="A633" t="s">
        <v>205</v>
      </c>
      <c r="B633" s="3">
        <v>46078</v>
      </c>
      <c r="C633" t="s">
        <v>814</v>
      </c>
      <c r="D633" t="s">
        <v>139</v>
      </c>
      <c r="E633" t="s">
        <v>17</v>
      </c>
      <c r="F633" t="s">
        <v>793</v>
      </c>
      <c r="G633" t="s">
        <v>271</v>
      </c>
      <c r="H633" t="s">
        <v>11</v>
      </c>
      <c r="I633">
        <v>3</v>
      </c>
      <c r="J633" t="s">
        <v>98</v>
      </c>
      <c r="K633">
        <f t="shared" si="9"/>
        <v>5</v>
      </c>
      <c r="L633" cm="1">
        <f t="array" ref="L633">IFERROR(SUMPRODUCT((COUNTIF($D$2:$D$648,$D$2:$D$648)&gt;COUNTIF($D$2:$D$648,D633))/COUNTIF($D$2:$D$648,$D$2:$D$648))+1,"")</f>
        <v>43.000000000000199</v>
      </c>
    </row>
    <row r="634" spans="1:12" x14ac:dyDescent="0.3">
      <c r="A634" t="s">
        <v>205</v>
      </c>
      <c r="B634" s="3">
        <v>46078</v>
      </c>
      <c r="C634" t="s">
        <v>814</v>
      </c>
      <c r="D634" t="s">
        <v>133</v>
      </c>
      <c r="E634" t="s">
        <v>14</v>
      </c>
      <c r="F634" t="s">
        <v>794</v>
      </c>
      <c r="G634" t="s">
        <v>268</v>
      </c>
      <c r="H634" t="s">
        <v>11</v>
      </c>
      <c r="I634">
        <v>3</v>
      </c>
      <c r="J634" t="s">
        <v>28</v>
      </c>
      <c r="K634">
        <f t="shared" si="9"/>
        <v>6</v>
      </c>
      <c r="L634" cm="1">
        <f t="array" ref="L634">IFERROR(SUMPRODUCT((COUNTIF($D$2:$D$648,$D$2:$D$648)&gt;COUNTIF($D$2:$D$648,D634))/COUNTIF($D$2:$D$648,$D$2:$D$648))+1,"")</f>
        <v>39.000000000000114</v>
      </c>
    </row>
    <row r="635" spans="1:12" x14ac:dyDescent="0.3">
      <c r="A635" t="s">
        <v>205</v>
      </c>
      <c r="B635" s="3">
        <v>46078</v>
      </c>
      <c r="C635" t="s">
        <v>814</v>
      </c>
      <c r="D635" t="s">
        <v>31</v>
      </c>
      <c r="E635" t="s">
        <v>20</v>
      </c>
      <c r="F635" t="s">
        <v>795</v>
      </c>
      <c r="G635" t="s">
        <v>223</v>
      </c>
      <c r="H635" t="s">
        <v>11</v>
      </c>
      <c r="I635">
        <v>3</v>
      </c>
      <c r="J635" t="s">
        <v>29</v>
      </c>
      <c r="K635">
        <f t="shared" si="9"/>
        <v>6</v>
      </c>
      <c r="L635" cm="1">
        <f t="array" ref="L635">IFERROR(SUMPRODUCT((COUNTIF($D$2:$D$648,$D$2:$D$648)&gt;COUNTIF($D$2:$D$648,D635))/COUNTIF($D$2:$D$648,$D$2:$D$648))+1,"")</f>
        <v>39.000000000000114</v>
      </c>
    </row>
    <row r="636" spans="1:12" x14ac:dyDescent="0.3">
      <c r="A636" t="s">
        <v>205</v>
      </c>
      <c r="B636" s="3">
        <v>46079</v>
      </c>
      <c r="C636" t="s">
        <v>817</v>
      </c>
      <c r="D636" t="s">
        <v>207</v>
      </c>
      <c r="E636" t="s">
        <v>67</v>
      </c>
      <c r="F636" t="s">
        <v>788</v>
      </c>
      <c r="G636" t="s">
        <v>248</v>
      </c>
      <c r="H636" t="s">
        <v>11</v>
      </c>
      <c r="I636">
        <v>3</v>
      </c>
      <c r="J636" t="s">
        <v>213</v>
      </c>
      <c r="K636">
        <f t="shared" si="9"/>
        <v>11</v>
      </c>
      <c r="L636" cm="1">
        <f t="array" ref="L636">IFERROR(SUMPRODUCT((COUNTIF($D$2:$D$648,$D$2:$D$648)&gt;COUNTIF($D$2:$D$648,D636))/COUNTIF($D$2:$D$648,$D$2:$D$648))+1,"")</f>
        <v>11.999999999999961</v>
      </c>
    </row>
    <row r="637" spans="1:12" x14ac:dyDescent="0.3">
      <c r="A637" t="s">
        <v>205</v>
      </c>
      <c r="B637" s="3">
        <v>46079</v>
      </c>
      <c r="C637" t="s">
        <v>817</v>
      </c>
      <c r="D637" t="s">
        <v>95</v>
      </c>
      <c r="E637" t="s">
        <v>23</v>
      </c>
      <c r="F637" t="s">
        <v>360</v>
      </c>
      <c r="G637" t="s">
        <v>254</v>
      </c>
      <c r="H637" t="s">
        <v>11</v>
      </c>
      <c r="I637">
        <v>3</v>
      </c>
      <c r="J637" t="s">
        <v>213</v>
      </c>
      <c r="K637">
        <f t="shared" si="9"/>
        <v>11</v>
      </c>
      <c r="L637" cm="1">
        <f t="array" ref="L637">IFERROR(SUMPRODUCT((COUNTIF($D$2:$D$648,$D$2:$D$648)&gt;COUNTIF($D$2:$D$648,D637))/COUNTIF($D$2:$D$648,$D$2:$D$648))+1,"")</f>
        <v>11.999999999999961</v>
      </c>
    </row>
    <row r="638" spans="1:12" x14ac:dyDescent="0.3">
      <c r="A638" t="s">
        <v>205</v>
      </c>
      <c r="B638" s="3">
        <v>46079</v>
      </c>
      <c r="C638" t="s">
        <v>817</v>
      </c>
      <c r="D638" t="s">
        <v>45</v>
      </c>
      <c r="E638" t="s">
        <v>20</v>
      </c>
      <c r="F638" t="s">
        <v>796</v>
      </c>
      <c r="G638" t="s">
        <v>227</v>
      </c>
      <c r="H638" t="s">
        <v>11</v>
      </c>
      <c r="I638">
        <v>4</v>
      </c>
      <c r="J638" t="s">
        <v>214</v>
      </c>
      <c r="K638">
        <f t="shared" si="9"/>
        <v>7</v>
      </c>
      <c r="L638" cm="1">
        <f t="array" ref="L638">IFERROR(SUMPRODUCT((COUNTIF($D$2:$D$648,$D$2:$D$648)&gt;COUNTIF($D$2:$D$648,D638))/COUNTIF($D$2:$D$648,$D$2:$D$648))+1,"")</f>
        <v>31.999999999999968</v>
      </c>
    </row>
    <row r="639" spans="1:12" x14ac:dyDescent="0.3">
      <c r="A639" t="s">
        <v>205</v>
      </c>
      <c r="B639" s="3">
        <v>46079</v>
      </c>
      <c r="C639" t="s">
        <v>817</v>
      </c>
      <c r="D639" t="s">
        <v>117</v>
      </c>
      <c r="E639" t="s">
        <v>14</v>
      </c>
      <c r="F639" t="s">
        <v>797</v>
      </c>
      <c r="G639" t="s">
        <v>264</v>
      </c>
      <c r="H639" t="s">
        <v>11</v>
      </c>
      <c r="I639">
        <v>3</v>
      </c>
      <c r="J639" t="s">
        <v>215</v>
      </c>
      <c r="K639">
        <f t="shared" si="9"/>
        <v>8</v>
      </c>
      <c r="L639" cm="1">
        <f t="array" ref="L639">IFERROR(SUMPRODUCT((COUNTIF($D$2:$D$648,$D$2:$D$648)&gt;COUNTIF($D$2:$D$648,D639))/COUNTIF($D$2:$D$648,$D$2:$D$648))+1,"")</f>
        <v>24.999999999999957</v>
      </c>
    </row>
    <row r="640" spans="1:12" x14ac:dyDescent="0.3">
      <c r="A640" t="s">
        <v>205</v>
      </c>
      <c r="B640" s="3">
        <v>46079</v>
      </c>
      <c r="C640" t="s">
        <v>817</v>
      </c>
      <c r="D640" t="s">
        <v>206</v>
      </c>
      <c r="E640" t="s">
        <v>84</v>
      </c>
      <c r="F640" t="s">
        <v>790</v>
      </c>
      <c r="G640" t="s">
        <v>225</v>
      </c>
      <c r="H640" t="s">
        <v>11</v>
      </c>
      <c r="I640">
        <v>4</v>
      </c>
      <c r="J640" t="s">
        <v>214</v>
      </c>
      <c r="K640">
        <f t="shared" si="9"/>
        <v>13</v>
      </c>
      <c r="L640" cm="1">
        <f t="array" ref="L640">IFERROR(SUMPRODUCT((COUNTIF($D$2:$D$648,$D$2:$D$648)&gt;COUNTIF($D$2:$D$648,D640))/COUNTIF($D$2:$D$648,$D$2:$D$648))+1,"")</f>
        <v>7.999999999999992</v>
      </c>
    </row>
    <row r="641" spans="1:12" x14ac:dyDescent="0.3">
      <c r="A641" t="s">
        <v>205</v>
      </c>
      <c r="B641" s="3">
        <v>46079</v>
      </c>
      <c r="C641" t="s">
        <v>817</v>
      </c>
      <c r="D641" t="s">
        <v>216</v>
      </c>
      <c r="E641" t="s">
        <v>17</v>
      </c>
      <c r="F641" t="s">
        <v>798</v>
      </c>
      <c r="G641" t="s">
        <v>285</v>
      </c>
      <c r="H641" t="s">
        <v>11</v>
      </c>
      <c r="I641">
        <v>3</v>
      </c>
      <c r="J641" t="s">
        <v>213</v>
      </c>
      <c r="K641">
        <f t="shared" si="9"/>
        <v>1</v>
      </c>
      <c r="L641" cm="1">
        <f t="array" ref="L641">IFERROR(SUMPRODUCT((COUNTIF($D$2:$D$648,$D$2:$D$648)&gt;COUNTIF($D$2:$D$648,D641))/COUNTIF($D$2:$D$648,$D$2:$D$648))+1,"")</f>
        <v>80.000000000000426</v>
      </c>
    </row>
    <row r="642" spans="1:12" x14ac:dyDescent="0.3">
      <c r="A642" t="s">
        <v>205</v>
      </c>
      <c r="B642" s="3">
        <v>46080</v>
      </c>
      <c r="C642" t="s">
        <v>815</v>
      </c>
      <c r="D642" t="s">
        <v>207</v>
      </c>
      <c r="E642" t="s">
        <v>67</v>
      </c>
      <c r="F642" t="s">
        <v>788</v>
      </c>
      <c r="G642" t="s">
        <v>248</v>
      </c>
      <c r="H642" t="s">
        <v>11</v>
      </c>
      <c r="I642">
        <v>5</v>
      </c>
      <c r="J642" t="s">
        <v>21</v>
      </c>
      <c r="K642">
        <f t="shared" ref="K642:K648" si="10">COUNTIF($D$2:$D$700,D642)</f>
        <v>11</v>
      </c>
      <c r="L642" cm="1">
        <f t="array" ref="L642">IFERROR(SUMPRODUCT((COUNTIF($D$2:$D$648,$D$2:$D$648)&gt;COUNTIF($D$2:$D$648,D642))/COUNTIF($D$2:$D$648,$D$2:$D$648))+1,"")</f>
        <v>11.999999999999961</v>
      </c>
    </row>
    <row r="643" spans="1:12" x14ac:dyDescent="0.3">
      <c r="A643" t="s">
        <v>205</v>
      </c>
      <c r="B643" s="3">
        <v>46080</v>
      </c>
      <c r="C643" t="s">
        <v>815</v>
      </c>
      <c r="D643" t="s">
        <v>95</v>
      </c>
      <c r="E643" t="s">
        <v>46</v>
      </c>
      <c r="F643" t="s">
        <v>360</v>
      </c>
      <c r="G643" t="s">
        <v>254</v>
      </c>
      <c r="H643" t="s">
        <v>11</v>
      </c>
      <c r="I643">
        <v>5</v>
      </c>
      <c r="J643" t="s">
        <v>75</v>
      </c>
      <c r="K643">
        <f t="shared" si="10"/>
        <v>11</v>
      </c>
      <c r="L643" cm="1">
        <f t="array" ref="L643">IFERROR(SUMPRODUCT((COUNTIF($D$2:$D$648,$D$2:$D$648)&gt;COUNTIF($D$2:$D$648,D643))/COUNTIF($D$2:$D$648,$D$2:$D$648))+1,"")</f>
        <v>11.999999999999961</v>
      </c>
    </row>
    <row r="644" spans="1:12" x14ac:dyDescent="0.3">
      <c r="A644" t="s">
        <v>205</v>
      </c>
      <c r="B644" s="3">
        <v>46080</v>
      </c>
      <c r="C644" t="s">
        <v>815</v>
      </c>
      <c r="D644" t="s">
        <v>106</v>
      </c>
      <c r="E644" t="s">
        <v>23</v>
      </c>
      <c r="F644" t="s">
        <v>799</v>
      </c>
      <c r="G644" t="s">
        <v>260</v>
      </c>
      <c r="H644" t="s">
        <v>11</v>
      </c>
      <c r="I644">
        <v>5</v>
      </c>
      <c r="J644" t="s">
        <v>90</v>
      </c>
      <c r="K644">
        <f t="shared" si="10"/>
        <v>8</v>
      </c>
      <c r="L644" cm="1">
        <f t="array" ref="L644">IFERROR(SUMPRODUCT((COUNTIF($D$2:$D$648,$D$2:$D$648)&gt;COUNTIF($D$2:$D$648,D644))/COUNTIF($D$2:$D$648,$D$2:$D$648))+1,"")</f>
        <v>24.999999999999957</v>
      </c>
    </row>
    <row r="645" spans="1:12" x14ac:dyDescent="0.3">
      <c r="A645" t="s">
        <v>205</v>
      </c>
      <c r="B645" s="3">
        <v>46080</v>
      </c>
      <c r="C645" t="s">
        <v>815</v>
      </c>
      <c r="D645" t="s">
        <v>152</v>
      </c>
      <c r="E645" t="s">
        <v>20</v>
      </c>
      <c r="F645" t="s">
        <v>800</v>
      </c>
      <c r="G645" t="s">
        <v>258</v>
      </c>
      <c r="H645" t="s">
        <v>11</v>
      </c>
      <c r="I645">
        <v>5</v>
      </c>
      <c r="J645" t="s">
        <v>90</v>
      </c>
      <c r="K645">
        <f t="shared" si="10"/>
        <v>7</v>
      </c>
      <c r="L645" cm="1">
        <f t="array" ref="L645">IFERROR(SUMPRODUCT((COUNTIF($D$2:$D$648,$D$2:$D$648)&gt;COUNTIF($D$2:$D$648,D645))/COUNTIF($D$2:$D$648,$D$2:$D$648))+1,"")</f>
        <v>31.999999999999968</v>
      </c>
    </row>
    <row r="646" spans="1:12" x14ac:dyDescent="0.3">
      <c r="A646" t="s">
        <v>205</v>
      </c>
      <c r="B646" s="3">
        <v>46080</v>
      </c>
      <c r="C646" t="s">
        <v>815</v>
      </c>
      <c r="D646" t="s">
        <v>206</v>
      </c>
      <c r="E646" t="s">
        <v>84</v>
      </c>
      <c r="F646" t="s">
        <v>790</v>
      </c>
      <c r="G646" t="s">
        <v>225</v>
      </c>
      <c r="H646" t="s">
        <v>11</v>
      </c>
      <c r="I646">
        <v>7</v>
      </c>
      <c r="J646" t="s">
        <v>15</v>
      </c>
      <c r="K646">
        <f t="shared" si="10"/>
        <v>13</v>
      </c>
      <c r="L646" cm="1">
        <f t="array" ref="L646">IFERROR(SUMPRODUCT((COUNTIF($D$2:$D$648,$D$2:$D$648)&gt;COUNTIF($D$2:$D$648,D646))/COUNTIF($D$2:$D$648,$D$2:$D$648))+1,"")</f>
        <v>7.999999999999992</v>
      </c>
    </row>
    <row r="647" spans="1:12" x14ac:dyDescent="0.3">
      <c r="A647" t="s">
        <v>205</v>
      </c>
      <c r="B647" s="3">
        <v>46080</v>
      </c>
      <c r="C647" t="s">
        <v>815</v>
      </c>
      <c r="D647" t="s">
        <v>103</v>
      </c>
      <c r="E647" t="s">
        <v>14</v>
      </c>
      <c r="F647" t="s">
        <v>801</v>
      </c>
      <c r="G647" t="s">
        <v>225</v>
      </c>
      <c r="H647" t="s">
        <v>11</v>
      </c>
      <c r="I647">
        <v>7</v>
      </c>
      <c r="J647" t="s">
        <v>15</v>
      </c>
      <c r="K647">
        <f t="shared" si="10"/>
        <v>7</v>
      </c>
      <c r="L647" cm="1">
        <f t="array" ref="L647">IFERROR(SUMPRODUCT((COUNTIF($D$2:$D$648,$D$2:$D$648)&gt;COUNTIF($D$2:$D$648,D647))/COUNTIF($D$2:$D$648,$D$2:$D$648))+1,"")</f>
        <v>31.999999999999968</v>
      </c>
    </row>
    <row r="648" spans="1:12" x14ac:dyDescent="0.3">
      <c r="A648" t="s">
        <v>205</v>
      </c>
      <c r="B648" s="3">
        <v>46080</v>
      </c>
      <c r="C648" t="s">
        <v>815</v>
      </c>
      <c r="D648" t="s">
        <v>48</v>
      </c>
      <c r="E648" t="s">
        <v>17</v>
      </c>
      <c r="F648" t="s">
        <v>802</v>
      </c>
      <c r="G648" t="s">
        <v>228</v>
      </c>
      <c r="H648" t="s">
        <v>11</v>
      </c>
      <c r="I648">
        <v>5</v>
      </c>
      <c r="J648" t="s">
        <v>49</v>
      </c>
      <c r="K648">
        <f t="shared" si="10"/>
        <v>18</v>
      </c>
      <c r="L648" cm="1">
        <f t="array" ref="L648">IFERROR(SUMPRODUCT((COUNTIF($D$2:$D$648,$D$2:$D$648)&gt;COUNTIF($D$2:$D$648,D648))/COUNTIF($D$2:$D$648,$D$2:$D$648))+1,"")</f>
        <v>5.0000000000000009</v>
      </c>
    </row>
  </sheetData>
  <phoneticPr fontId="2" type="noConversion"/>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04FCD3-CE1F-4D02-B109-EC03388FB1D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5</vt:i4>
      </vt:variant>
    </vt:vector>
  </HeadingPairs>
  <TitlesOfParts>
    <vt:vector size="15" baseType="lpstr">
      <vt:lpstr>Dashboard</vt:lpstr>
      <vt:lpstr>KPI</vt:lpstr>
      <vt:lpstr>Classeoom_Associates_Workload</vt:lpstr>
      <vt:lpstr>Outside Sub Coverage</vt:lpstr>
      <vt:lpstr>Most Teachers Covered</vt:lpstr>
      <vt:lpstr>Classes Coverage Trend</vt:lpstr>
      <vt:lpstr>Classes Coverage by Days</vt:lpstr>
      <vt:lpstr>Peak day</vt:lpstr>
      <vt:lpstr>Avg Class</vt:lpstr>
      <vt:lpstr>All Cleaned Data</vt:lpstr>
      <vt:lpstr>Date</vt:lpstr>
      <vt:lpstr>Periods</vt:lpstr>
      <vt:lpstr>Subtitute</vt:lpstr>
      <vt:lpstr>Teacher</vt:lpstr>
      <vt:lpstr>WeekDays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Kaleem Ullah</dc:creator>
  <cp:lastModifiedBy>Kaleem Ullah</cp:lastModifiedBy>
  <dcterms:created xsi:type="dcterms:W3CDTF">2026-03-16T17:52:24Z</dcterms:created>
  <dcterms:modified xsi:type="dcterms:W3CDTF">2026-03-19T16:53:59Z</dcterms:modified>
</cp:coreProperties>
</file>